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nai_s\Dropbox\Trading\Trade_Nai\Strategy_Nai\"/>
    </mc:Choice>
  </mc:AlternateContent>
  <xr:revisionPtr revIDLastSave="0" documentId="13_ncr:1_{782A5BB4-A219-42F3-8B51-9450C3DEB26E}" xr6:coauthVersionLast="47" xr6:coauthVersionMax="47" xr10:uidLastSave="{00000000-0000-0000-0000-000000000000}"/>
  <bookViews>
    <workbookView xWindow="-108" yWindow="-108" windowWidth="23256" windowHeight="12456" xr2:uid="{144D30FC-2CDD-4F92-A0AF-2579EF4299E0}"/>
  </bookViews>
  <sheets>
    <sheet name="Parabolic" sheetId="37" r:id="rId1"/>
  </sheets>
  <externalReferences>
    <externalReference r:id="rId2"/>
    <externalReference r:id="rId3"/>
  </externalReferences>
  <definedNames>
    <definedName name="Básico">#REF!</definedName>
    <definedName name="Cantidad">#REF!</definedName>
    <definedName name="Catalyst">#REF!</definedName>
    <definedName name="Categoría">#REF!</definedName>
    <definedName name="Company">#REF!</definedName>
    <definedName name="Day_of_the_week">#REF!</definedName>
    <definedName name="Divisa">#REF!</definedName>
    <definedName name="Entry">#REF!</definedName>
    <definedName name="Entry_Goal">#REF!</definedName>
    <definedName name="Exit">#REF!</definedName>
    <definedName name="Exit_Goal">#REF!</definedName>
    <definedName name="Fecha">#REF!</definedName>
    <definedName name="Hora">#REF!</definedName>
    <definedName name="Long_Short">#REF!</definedName>
    <definedName name="Market_Cap_2">[1]DB_Strategy!$O$2:$O$38</definedName>
    <definedName name="Mercado_Principal">#REF!</definedName>
    <definedName name="Mkt_Cap">#REF!</definedName>
    <definedName name="Mkt_Cap_1">[1]DB_Strategy!$O$2:$O$38</definedName>
    <definedName name="Mkt_Cap1">[1]DB_Strategy!$O$2:$O$38</definedName>
    <definedName name="Mkt_Cap2">[1]DB_Strategy!$O$2:$O$38</definedName>
    <definedName name="MTM_P_G">#REF!</definedName>
    <definedName name="Notas_Volumen">#REF!</definedName>
    <definedName name="NotasAlPie_Volumen">#REF!</definedName>
    <definedName name="Notes">#REF!</definedName>
    <definedName name="Pattern">[2]DB_Strategy!$I$2:$I$28</definedName>
    <definedName name="Posición__Win_Loss">#REF!</definedName>
    <definedName name="Precio_de_cier.">#REF!</definedName>
    <definedName name="Precio_trans.">#REF!</definedName>
    <definedName name="Productos">#REF!</definedName>
    <definedName name="PyG_realizadas">#REF!</definedName>
    <definedName name="Rendimiento_Acumulado">#REF!</definedName>
    <definedName name="SEC_Filings">#REF!</definedName>
    <definedName name="Sector_1">#REF!</definedName>
    <definedName name="Sector_2">#REF!</definedName>
    <definedName name="Sector_Hype">#REF!</definedName>
    <definedName name="Símbolo">#REF!</definedName>
    <definedName name="Tarifa_comisión">#REF!</definedName>
    <definedName name="Tipo_de_Acción">#REF!</definedName>
    <definedName name="Variación_Rendimiento">#REF!</definedName>
    <definedName name="W__L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37" l="1"/>
  <c r="K18" i="37"/>
  <c r="L18" i="37"/>
  <c r="O18" i="37"/>
  <c r="W18" i="37"/>
  <c r="X18" i="37"/>
  <c r="Y18" i="37"/>
  <c r="AB18" i="37"/>
  <c r="AE18" i="37" s="1"/>
  <c r="F17" i="37"/>
  <c r="K17" i="37"/>
  <c r="L17" i="37"/>
  <c r="O17" i="37"/>
  <c r="W17" i="37"/>
  <c r="X17" i="37"/>
  <c r="Y17" i="37"/>
  <c r="AB17" i="37"/>
  <c r="AE17" i="37" s="1"/>
  <c r="F2" i="37" l="1"/>
  <c r="K2" i="37"/>
  <c r="L2" i="37"/>
  <c r="O2" i="37"/>
  <c r="W2" i="37"/>
  <c r="X2" i="37"/>
  <c r="Y2" i="37"/>
  <c r="AB2" i="37"/>
  <c r="AE2" i="37" s="1"/>
  <c r="F3" i="37"/>
  <c r="K3" i="37"/>
  <c r="L3" i="37"/>
  <c r="O3" i="37"/>
  <c r="W3" i="37"/>
  <c r="X3" i="37"/>
  <c r="Y3" i="37"/>
  <c r="AB3" i="37"/>
  <c r="AE3" i="37" s="1"/>
  <c r="F4" i="37"/>
  <c r="K4" i="37"/>
  <c r="L4" i="37"/>
  <c r="O4" i="37"/>
  <c r="W4" i="37"/>
  <c r="X4" i="37"/>
  <c r="Y4" i="37"/>
  <c r="AB4" i="37"/>
  <c r="AE4" i="37" s="1"/>
  <c r="F5" i="37"/>
  <c r="K5" i="37"/>
  <c r="L5" i="37"/>
  <c r="O5" i="37"/>
  <c r="W5" i="37"/>
  <c r="X5" i="37"/>
  <c r="Y5" i="37"/>
  <c r="AB5" i="37"/>
  <c r="AE5" i="37" s="1"/>
  <c r="F6" i="37"/>
  <c r="K6" i="37"/>
  <c r="L6" i="37"/>
  <c r="O6" i="37"/>
  <c r="W6" i="37"/>
  <c r="X6" i="37"/>
  <c r="Y6" i="37"/>
  <c r="AB6" i="37"/>
  <c r="AE6" i="37"/>
  <c r="F7" i="37"/>
  <c r="K7" i="37"/>
  <c r="L7" i="37"/>
  <c r="O7" i="37"/>
  <c r="W7" i="37"/>
  <c r="X7" i="37"/>
  <c r="Y7" i="37"/>
  <c r="AB7" i="37"/>
  <c r="AE7" i="37" s="1"/>
  <c r="F8" i="37"/>
  <c r="K8" i="37"/>
  <c r="L8" i="37"/>
  <c r="O8" i="37"/>
  <c r="W8" i="37"/>
  <c r="X8" i="37"/>
  <c r="Y8" i="37"/>
  <c r="AB8" i="37"/>
  <c r="AE8" i="37" s="1"/>
  <c r="F9" i="37"/>
  <c r="K9" i="37"/>
  <c r="L9" i="37"/>
  <c r="O9" i="37"/>
  <c r="W9" i="37"/>
  <c r="X9" i="37"/>
  <c r="Y9" i="37"/>
  <c r="AB9" i="37"/>
  <c r="AE9" i="37" s="1"/>
  <c r="F10" i="37"/>
  <c r="K10" i="37"/>
  <c r="L10" i="37"/>
  <c r="O10" i="37"/>
  <c r="W10" i="37"/>
  <c r="X10" i="37"/>
  <c r="Y10" i="37"/>
  <c r="AB10" i="37"/>
  <c r="AE10" i="37" s="1"/>
  <c r="F11" i="37"/>
  <c r="K11" i="37"/>
  <c r="L11" i="37"/>
  <c r="O11" i="37"/>
  <c r="W11" i="37"/>
  <c r="X11" i="37"/>
  <c r="Y11" i="37"/>
  <c r="AB11" i="37"/>
  <c r="AE11" i="37" s="1"/>
  <c r="F12" i="37"/>
  <c r="K12" i="37"/>
  <c r="L12" i="37"/>
  <c r="O12" i="37"/>
  <c r="W12" i="37"/>
  <c r="X12" i="37"/>
  <c r="Y12" i="37"/>
  <c r="AB12" i="37"/>
  <c r="AE12" i="37"/>
  <c r="F13" i="37"/>
  <c r="K13" i="37"/>
  <c r="L13" i="37"/>
  <c r="O13" i="37"/>
  <c r="W13" i="37"/>
  <c r="X13" i="37"/>
  <c r="Y13" i="37"/>
  <c r="AB13" i="37"/>
  <c r="AE13" i="37"/>
  <c r="F14" i="37"/>
  <c r="K14" i="37"/>
  <c r="L14" i="37"/>
  <c r="O14" i="37"/>
  <c r="W14" i="37"/>
  <c r="X14" i="37"/>
  <c r="Y14" i="37"/>
  <c r="AB14" i="37"/>
  <c r="AE14" i="37" s="1"/>
  <c r="F15" i="37"/>
  <c r="K15" i="37"/>
  <c r="L15" i="37"/>
  <c r="O15" i="37"/>
  <c r="W15" i="37"/>
  <c r="X15" i="37"/>
  <c r="Y15" i="37"/>
  <c r="AB15" i="37"/>
  <c r="AE15" i="37" s="1"/>
  <c r="F16" i="37"/>
  <c r="K16" i="37"/>
  <c r="L16" i="37"/>
  <c r="O16" i="37"/>
  <c r="W16" i="37"/>
  <c r="X16" i="37"/>
  <c r="Y16" i="37"/>
  <c r="AB16" i="37"/>
  <c r="AE16" i="37" s="1"/>
</calcChain>
</file>

<file path=xl/sharedStrings.xml><?xml version="1.0" encoding="utf-8"?>
<sst xmlns="http://schemas.openxmlformats.org/spreadsheetml/2006/main" count="230" uniqueCount="87">
  <si>
    <t>Ticker</t>
  </si>
  <si>
    <t>Yes</t>
  </si>
  <si>
    <t>No</t>
  </si>
  <si>
    <t>All</t>
  </si>
  <si>
    <t>Entry</t>
  </si>
  <si>
    <t>Work</t>
  </si>
  <si>
    <t>N/A</t>
  </si>
  <si>
    <t>PMH</t>
  </si>
  <si>
    <t>Support</t>
  </si>
  <si>
    <t>2-H</t>
  </si>
  <si>
    <t>Break- Above</t>
  </si>
  <si>
    <t>1-H</t>
  </si>
  <si>
    <t>No-Down</t>
  </si>
  <si>
    <t>None</t>
  </si>
  <si>
    <t>Break-Little</t>
  </si>
  <si>
    <t>3-L</t>
  </si>
  <si>
    <t>Trade</t>
  </si>
  <si>
    <t>Date</t>
  </si>
  <si>
    <t>China Pump</t>
  </si>
  <si>
    <t>Acquiring Company</t>
  </si>
  <si>
    <t>One</t>
  </si>
  <si>
    <t>Trade Time</t>
  </si>
  <si>
    <t>LUCY</t>
  </si>
  <si>
    <t>DB</t>
  </si>
  <si>
    <t>DB (H-L)</t>
  </si>
  <si>
    <t>HL</t>
  </si>
  <si>
    <t>Form N</t>
  </si>
  <si>
    <t>Form U</t>
  </si>
  <si>
    <t>PDC</t>
  </si>
  <si>
    <t>Previous Date</t>
  </si>
  <si>
    <t>Entry Time</t>
  </si>
  <si>
    <t>Exit</t>
  </si>
  <si>
    <t>Exit Time</t>
  </si>
  <si>
    <t>H-L Outside Downtrend</t>
  </si>
  <si>
    <t>Registry in DB</t>
  </si>
  <si>
    <t>Clear Downtrend Line</t>
  </si>
  <si>
    <t>PM Open Wick Time</t>
  </si>
  <si>
    <t>RR</t>
  </si>
  <si>
    <t>Supp &amp; Resist</t>
  </si>
  <si>
    <t>Various</t>
  </si>
  <si>
    <t>Supp</t>
  </si>
  <si>
    <t>Market Open Run Above</t>
  </si>
  <si>
    <t>1 - Uptrend</t>
  </si>
  <si>
    <t>1 - Normal</t>
  </si>
  <si>
    <t>1 - Downtrend</t>
  </si>
  <si>
    <t>TDIC</t>
  </si>
  <si>
    <t>QUCY</t>
  </si>
  <si>
    <t>Pump News AI</t>
  </si>
  <si>
    <t>C_Grupos PM Open Wick Time</t>
  </si>
  <si>
    <t>C_Grupos PMH - Supp</t>
  </si>
  <si>
    <t>C_Grupos Supp - Entry</t>
  </si>
  <si>
    <t>C_Entry Technical Confirmation</t>
  </si>
  <si>
    <t>C_Form</t>
  </si>
  <si>
    <t>C_Trade Day</t>
  </si>
  <si>
    <t>Financial Result</t>
  </si>
  <si>
    <t>CT_Spike to PM High</t>
  </si>
  <si>
    <t>CT_Entry Market Hour</t>
  </si>
  <si>
    <t>CT_Key Level Characteristics</t>
  </si>
  <si>
    <t>T_News</t>
  </si>
  <si>
    <t>CT_Day of the Week</t>
  </si>
  <si>
    <t>CT_Exit Poistion to VWAP</t>
  </si>
  <si>
    <t>CT_Pushes</t>
  </si>
  <si>
    <t>T_Gap Fill Sector</t>
  </si>
  <si>
    <t>TNMG</t>
  </si>
  <si>
    <t>CETX</t>
  </si>
  <si>
    <t>CRE</t>
  </si>
  <si>
    <t>CLWT</t>
  </si>
  <si>
    <t>ICCM</t>
  </si>
  <si>
    <t>FDA Clearance ADR Israel</t>
  </si>
  <si>
    <t>WKSP</t>
  </si>
  <si>
    <t>Investment &amp; Warrants at $1</t>
  </si>
  <si>
    <t>CDT</t>
  </si>
  <si>
    <t>Expansion in Quantum</t>
  </si>
  <si>
    <t>GETY</t>
  </si>
  <si>
    <t>CollaborationOpenAI Images</t>
  </si>
  <si>
    <t>RDGT</t>
  </si>
  <si>
    <t>FRTT</t>
  </si>
  <si>
    <t>PLSM</t>
  </si>
  <si>
    <t>Plans to acquire a company ADR Canada</t>
  </si>
  <si>
    <t>Partnership ADR Israel</t>
  </si>
  <si>
    <t>CANF</t>
  </si>
  <si>
    <t>NNBR</t>
  </si>
  <si>
    <t>Patent ADR Israel</t>
  </si>
  <si>
    <t>Approves Acquisition of Equitu in Space X</t>
  </si>
  <si>
    <t>Good News ADR Japan</t>
  </si>
  <si>
    <t>EDBL</t>
  </si>
  <si>
    <t>LOI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</si>
</sst>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* #,##0.00_-;\-&quot;$&quot;* #,##0.00_-;_-&quot;$&quot;* &quot;-&quot;??_-;_-@_-"/>
    <numFmt numFmtId="43" formatCode="_-* #,##0.00_-;\-* #,##0.00_-;_-* &quot;-&quot;??_-;_-@_-"/>
    <numFmt numFmtId="164" formatCode="0.0%"/>
    <numFmt numFmtId="165" formatCode="0.0"/>
    <numFmt numFmtId="166" formatCode="0.000"/>
    <numFmt numFmtId="167" formatCode="0.00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7">
    <xf numFmtId="0" fontId="0" fillId="0" borderId="0"/>
    <xf numFmtId="0" fontId="8" fillId="0" borderId="0"/>
    <xf numFmtId="0" fontId="1" fillId="0" borderId="0"/>
    <xf numFmtId="43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9" fillId="0" borderId="0" applyNumberForma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</cellStyleXfs>
  <cellXfs count="52">
    <xf numFmtId="0" fontId="0" fillId="0" borderId="0" xfId="0"/>
    <xf numFmtId="165" fontId="0" fillId="0" borderId="6" xfId="0" applyNumberFormat="1" applyBorder="1" applyAlignment="1">
      <alignment horizontal="left" vertical="center"/>
    </xf>
    <xf numFmtId="165" fontId="0" fillId="0" borderId="1" xfId="0" applyNumberForma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4" fontId="5" fillId="0" borderId="6" xfId="0" applyNumberFormat="1" applyFont="1" applyBorder="1" applyAlignment="1">
      <alignment horizontal="left" vertical="center"/>
    </xf>
    <xf numFmtId="20" fontId="5" fillId="0" borderId="6" xfId="0" applyNumberFormat="1" applyFont="1" applyBorder="1" applyAlignment="1">
      <alignment horizontal="left" vertical="center"/>
    </xf>
    <xf numFmtId="20" fontId="0" fillId="0" borderId="1" xfId="0" applyNumberFormat="1" applyBorder="1" applyAlignment="1">
      <alignment horizontal="left" vertical="center"/>
    </xf>
    <xf numFmtId="20" fontId="0" fillId="0" borderId="6" xfId="0" applyNumberFormat="1" applyBorder="1" applyAlignment="1">
      <alignment horizontal="left" vertical="center"/>
    </xf>
    <xf numFmtId="20" fontId="5" fillId="0" borderId="1" xfId="0" applyNumberFormat="1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9" fontId="0" fillId="0" borderId="1" xfId="0" applyNumberForma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164" fontId="5" fillId="0" borderId="6" xfId="0" applyNumberFormat="1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167" fontId="5" fillId="0" borderId="6" xfId="0" applyNumberFormat="1" applyFont="1" applyBorder="1" applyAlignment="1">
      <alignment horizontal="left" vertical="center"/>
    </xf>
    <xf numFmtId="0" fontId="5" fillId="2" borderId="7" xfId="0" applyFont="1" applyFill="1" applyBorder="1" applyAlignment="1">
      <alignment horizontal="left" vertical="center"/>
    </xf>
    <xf numFmtId="20" fontId="6" fillId="0" borderId="6" xfId="0" applyNumberFormat="1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167" fontId="0" fillId="0" borderId="1" xfId="0" applyNumberFormat="1" applyBorder="1" applyAlignment="1">
      <alignment horizontal="left" vertical="center"/>
    </xf>
    <xf numFmtId="166" fontId="0" fillId="0" borderId="1" xfId="0" applyNumberForma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9" fontId="5" fillId="0" borderId="6" xfId="0" applyNumberFormat="1" applyFont="1" applyBorder="1" applyAlignment="1">
      <alignment horizontal="left" vertical="center"/>
    </xf>
    <xf numFmtId="14" fontId="6" fillId="0" borderId="6" xfId="0" applyNumberFormat="1" applyFont="1" applyBorder="1" applyAlignment="1">
      <alignment horizontal="left" vertical="center"/>
    </xf>
    <xf numFmtId="167" fontId="6" fillId="0" borderId="6" xfId="0" applyNumberFormat="1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164" fontId="0" fillId="0" borderId="6" xfId="0" applyNumberFormat="1" applyBorder="1" applyAlignment="1">
      <alignment horizontal="left" vertical="center"/>
    </xf>
    <xf numFmtId="9" fontId="0" fillId="0" borderId="6" xfId="0" applyNumberFormat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166" fontId="5" fillId="0" borderId="6" xfId="0" applyNumberFormat="1" applyFont="1" applyBorder="1" applyAlignment="1">
      <alignment horizontal="left" vertical="center"/>
    </xf>
    <xf numFmtId="165" fontId="5" fillId="0" borderId="6" xfId="0" applyNumberFormat="1" applyFont="1" applyBorder="1" applyAlignment="1">
      <alignment horizontal="left" vertical="center"/>
    </xf>
    <xf numFmtId="164" fontId="6" fillId="0" borderId="6" xfId="0" applyNumberFormat="1" applyFont="1" applyBorder="1" applyAlignment="1">
      <alignment horizontal="left" vertical="center"/>
    </xf>
    <xf numFmtId="167" fontId="0" fillId="0" borderId="6" xfId="0" applyNumberFormat="1" applyBorder="1" applyAlignment="1">
      <alignment horizontal="left" vertical="center"/>
    </xf>
    <xf numFmtId="165" fontId="6" fillId="0" borderId="6" xfId="0" applyNumberFormat="1" applyFont="1" applyBorder="1" applyAlignment="1">
      <alignment horizontal="left" vertical="center"/>
    </xf>
    <xf numFmtId="9" fontId="6" fillId="0" borderId="6" xfId="0" applyNumberFormat="1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164" fontId="0" fillId="0" borderId="6" xfId="0" applyNumberFormat="1" applyBorder="1"/>
    <xf numFmtId="166" fontId="0" fillId="0" borderId="6" xfId="0" applyNumberForma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164" fontId="6" fillId="0" borderId="6" xfId="0" applyNumberFormat="1" applyFont="1" applyBorder="1"/>
    <xf numFmtId="166" fontId="6" fillId="0" borderId="6" xfId="0" applyNumberFormat="1" applyFont="1" applyBorder="1" applyAlignment="1">
      <alignment horizontal="left" vertical="center"/>
    </xf>
    <xf numFmtId="0" fontId="6" fillId="2" borderId="7" xfId="0" applyFont="1" applyFill="1" applyBorder="1" applyAlignment="1">
      <alignment horizontal="left" vertical="center"/>
    </xf>
    <xf numFmtId="164" fontId="5" fillId="0" borderId="6" xfId="0" applyNumberFormat="1" applyFont="1" applyBorder="1"/>
    <xf numFmtId="164" fontId="0" fillId="0" borderId="1" xfId="0" applyNumberFormat="1" applyBorder="1" applyAlignment="1">
      <alignment horizontal="left" vertical="center"/>
    </xf>
    <xf numFmtId="164" fontId="0" fillId="0" borderId="1" xfId="0" applyNumberFormat="1" applyBorder="1"/>
  </cellXfs>
  <cellStyles count="17">
    <cellStyle name="Comma 2" xfId="12" xr:uid="{E4241DF1-9868-43F6-9151-5F0D8872DCED}"/>
    <cellStyle name="Comma 2 2" xfId="3" xr:uid="{59B763A8-8984-4A4A-B3D8-40FEB40E4A9D}"/>
    <cellStyle name="Comma 2 2 2" xfId="14" xr:uid="{F4C9DC10-B5F8-41C3-BBDB-3650C1BC457E}"/>
    <cellStyle name="Hipervínculo 2" xfId="8" xr:uid="{72672035-37D3-4739-A29B-E72AA72D8B8E}"/>
    <cellStyle name="Hyperlink 2" xfId="13" xr:uid="{5393548B-F239-406A-A76A-23315F259502}"/>
    <cellStyle name="Millares 2" xfId="5" xr:uid="{247768A7-3C10-427C-A8F1-9A9187D96D6D}"/>
    <cellStyle name="Millares 2 2" xfId="9" xr:uid="{F62CB319-C77B-4EC5-A51E-44C554F4A0C3}"/>
    <cellStyle name="Millares 2 3" xfId="6" xr:uid="{5C3FAD64-5121-49EE-B420-472E9DEF3390}"/>
    <cellStyle name="Moneda 2" xfId="7" xr:uid="{F943F535-5B01-40A2-A1E6-6BCF6872744F}"/>
    <cellStyle name="Moneda 2 2" xfId="10" xr:uid="{32643BED-E224-4E8B-8FA5-F0A93556F543}"/>
    <cellStyle name="Normal" xfId="0" builtinId="0"/>
    <cellStyle name="Normal 2" xfId="1" xr:uid="{04383812-F549-4050-8804-827CC0CF7A10}"/>
    <cellStyle name="Normal 3" xfId="2" xr:uid="{7BC0EECA-AAF4-4733-8325-885E926E8071}"/>
    <cellStyle name="Normal 4" xfId="15" xr:uid="{7577FAB1-CE45-4716-ACE1-D850CC6C51ED}"/>
    <cellStyle name="Normal 5" xfId="16" xr:uid="{4D1714EA-8026-4AED-8755-28C6E908298A}"/>
    <cellStyle name="Percent 2" xfId="11" xr:uid="{42F9E7C1-9C58-4030-B8D1-B11E13B276E1}"/>
    <cellStyle name="Porcentaje 2" xfId="4" xr:uid="{65B820E3-DE38-4265-981D-1397A2AF51FB}"/>
  </cellStyles>
  <dxfs count="38"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5" formatCode="hh:mm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5" formatCode="hh:mm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0.000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%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0.0000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5" formatCode="hh:mm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5" formatCode="hh:mm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fill>
        <patternFill patternType="solid">
          <fgColor rgb="FF000000"/>
          <bgColor rgb="FFADADAD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rgb="FF000000"/>
          <bgColor auto="1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CDA3D9"/>
      <color rgb="FFCBA5F5"/>
      <color rgb="FFB797F1"/>
      <color rgb="FFC892DE"/>
      <color rgb="FFB9E9BE"/>
      <color rgb="FFEEA692"/>
      <color rgb="FFA8F3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microsoft.com/office/2017/10/relationships/person" Target="persons/perso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ai_santillan\Dropbox\Trading\Trade_Strategy\Trade_Strategy(Agosto_2020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ai_santillan\Dropbox\Trading\Trade_Strategy\Trade_Strategy(2020-03-17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_Strategy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_Strategy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784AC3EC-BB1C-4ECE-B51F-54CDA20BC60B}" name="Parabolic_tab" displayName="Parabolic_tab" ref="A1:AF18" headerRowDxfId="37" dataDxfId="35" totalsRowDxfId="33" headerRowBorderDxfId="36" tableBorderDxfId="34" totalsRowBorderDxfId="32">
  <autoFilter ref="A1:AF18" xr:uid="{930B1915-0873-463D-9A91-8B26379586EE}"/>
  <sortState xmlns:xlrd2="http://schemas.microsoft.com/office/spreadsheetml/2017/richdata2" ref="A2:AF1">
    <sortCondition ref="C1"/>
  </sortState>
  <tableColumns count="32">
    <tableColumn id="1" xr3:uid="{5A6C4F96-3F19-472D-BE75-4A51D8AF94AB}" name="Ticker" totalsRowLabel="Total" dataDxfId="31"/>
    <tableColumn id="31" xr3:uid="{CF3494F0-5850-494B-874E-6AEB1FF14465}" name="Registry in DB" dataDxfId="30"/>
    <tableColumn id="2" xr3:uid="{D60EC533-95A8-4BC1-9E4C-97A4D917A3C4}" name="Date" totalsRowFunction="count" dataDxfId="29"/>
    <tableColumn id="30" xr3:uid="{74F38431-79A4-4E3F-A565-52C10374A52A}" name="Previous Date" dataDxfId="28"/>
    <tableColumn id="18" xr3:uid="{C53A99C0-77BF-47C5-8C33-8E01C9593883}" name="PM Open Wick Time" dataDxfId="27"/>
    <tableColumn id="19" xr3:uid="{3B87F8E8-3EC4-4B86-969C-2106103892B9}" name="C_Grupos PM Open Wick Time" dataDxfId="26">
      <calculatedColumnFormula>IF(E2=TIME(4,0,0),"Grupo 1 - 4 AM",
IF(E2&lt;TIME(7,0,0),"Grupo 2 - Menor a 7 AM",
IF(E2=TIME(7,0,0),"Grupo 3 - 7 AM",
IF(E2&lt;TIME(8,0,0),"Grupo 4 - Menor a 8 AM",
IF(E2&lt;TIME(8,30,0),"Grupo 5 - Menor a 8:30 AM",
IF(E2&lt;TIME(9,30,0),"Grupo 6 - Menor a 9:30 AM",
"Fuera de rango"))))))</calculatedColumnFormula>
    </tableColumn>
    <tableColumn id="33" xr3:uid="{BF69003D-04A8-4558-814D-3ED9AA5314EE}" name="CT_Spike to PM High" dataDxfId="25"/>
    <tableColumn id="28" xr3:uid="{E1E126B6-81D8-4162-9BFA-C0C9AEFBFF33}" name="PDC" dataDxfId="24"/>
    <tableColumn id="3" xr3:uid="{C0AB01DD-C652-4C03-A9C5-473053078810}" name="PMH" dataDxfId="23"/>
    <tableColumn id="4" xr3:uid="{DDF5EAC8-D38F-4B93-9204-2CB0A7F9FB20}" name="Support" dataDxfId="22"/>
    <tableColumn id="29" xr3:uid="{43FC2077-0A8B-4AF4-8434-5101B4C15F59}" name="C_Grupos PMH - Supp" dataDxfId="21">
      <calculatedColumnFormula>IFERROR(
   IF(AND((Parabolic_tab[[#This Row],[Support]]/Parabolic_tab[[#This Row],[PMH]])-1 &gt;= -0.4, (Parabolic_tab[[#This Row],[Support]]/Parabolic_tab[[#This Row],[PMH]])-1 &lt;= 0),
      "Grupo 1 (-0.4% - 0%)",
      IF((Parabolic_tab[[#This Row],[Support]]/Parabolic_tab[[#This Row],[PMH]])-1 &gt;= -0.55,
         "Grupo 2 (-0.55% - -0.4%)",
         "Grupo 3 (inf - -0.55%)")),
"ERROR")</calculatedColumnFormula>
    </tableColumn>
    <tableColumn id="35" xr3:uid="{696644AE-3951-417C-97D1-BB4D3AAF2ECF}" name="C_Grupos Supp - Entry" dataDxfId="20">
      <calculatedColumnFormula>IFERROR(
   IF(AND((Parabolic_tab[[#This Row],[Entry]]/Parabolic_tab[[#This Row],[Support]])-1 &lt;= 0.08,(Parabolic_tab[[#This Row],[Entry]]/Parabolic_tab[[#This Row],[Support]])-1 &gt;= 0),
      "Grupo 1 (0% - 0.8%)",
      IF(((Parabolic_tab[[#This Row],[Entry]]/Parabolic_tab[[#This Row],[Support]])-1)&lt;=0.15,
          "Grupo 2 (0.8% - 0.15%)",
          "Grupo 3 (0.15% - inf)")),
"ERROR")</calculatedColumnFormula>
    </tableColumn>
    <tableColumn id="20" xr3:uid="{B524E839-0B2E-4B44-B4B8-AB1ACC043A52}" name="Entry" dataDxfId="19"/>
    <tableColumn id="16" xr3:uid="{94DC8C0F-C75C-4F26-9681-C354414A9C4B}" name="Entry Time" dataDxfId="18"/>
    <tableColumn id="5" xr3:uid="{BDB0985F-FD04-44D7-BF81-355F03456B65}" name="CT_Entry Market Hour" dataDxfId="17">
      <calculatedColumnFormula>IF(N2&lt;TIME(9,30,0),"PM",
 IF(N2&lt;TIME(9,45,0),"Market Open",
 IF(N2&lt;TIME(11,0,0),"TH",
 IF(N2&lt;TIME(14,0,0),"Lunch Time",
 IF(N2&lt;TIME(16,0,0),"Power Hour",
 IF(N2&lt;TIME(18,0,0),"AH",""))))))</calculatedColumnFormula>
    </tableColumn>
    <tableColumn id="17" xr3:uid="{C7BF096A-BBF7-4297-BC19-2CB34831F2FB}" name="C_Entry Technical Confirmation" dataDxfId="16"/>
    <tableColumn id="37" xr3:uid="{DE1EE4E6-EF3C-49D3-B0CF-FC6F5C424670}" name="CT_Key Level Characteristics" dataDxfId="15"/>
    <tableColumn id="25" xr3:uid="{3344FD02-C2DA-416F-8C31-3B9A5941FFE5}" name="Clear Downtrend Line" dataDxfId="14"/>
    <tableColumn id="12" xr3:uid="{01A02B9A-9E03-4C9A-B709-FAD81B21E07E}" name="H-L Outside Downtrend" dataDxfId="13"/>
    <tableColumn id="6" xr3:uid="{1DBA9D8B-6DE2-4CBC-B453-61CC4A7435B9}" name="T_News" dataDxfId="12"/>
    <tableColumn id="8" xr3:uid="{6EE356FD-21D6-4C0B-A8A6-E9501FFC6A6C}" name="Exit" dataDxfId="11"/>
    <tableColumn id="21" xr3:uid="{D3903996-F7B9-4D5A-A10A-17EFAA35C585}" name="Exit Time" dataDxfId="10"/>
    <tableColumn id="9" xr3:uid="{BBB9F632-E60A-498D-A8AA-DC41ABC18E05}" name="Trade" totalsRowFunction="average" dataDxfId="9">
      <calculatedColumnFormula>IFERROR((Parabolic_tab[[#This Row],[Exit]]/Parabolic_tab[[#This Row],[Entry]])-1,"")</calculatedColumnFormula>
    </tableColumn>
    <tableColumn id="11" xr3:uid="{E7878262-5141-41C2-9D65-3C99CB2E763B}" name="Trade Time" dataDxfId="8">
      <calculatedColumnFormula>IFERROR(Parabolic_tab[[#This Row],[Exit Time]]-Parabolic_tab[[#This Row],[Entry Time]],"")</calculatedColumnFormula>
    </tableColumn>
    <tableColumn id="7" xr3:uid="{1B93476F-A1C3-46D1-AC2D-A6A8A29DD141}" name="CT_Day of the Week" dataDxfId="7">
      <calculatedColumnFormula>IFERROR(TEXT(Parabolic_tab[[#This Row],[Date]],"dddd"),"")</calculatedColumnFormula>
    </tableColumn>
    <tableColumn id="10" xr3:uid="{52B1BAF9-FA95-4357-9925-1C2CA411DDBC}" name="CT_Exit Poistion to VWAP" dataDxfId="6"/>
    <tableColumn id="27" xr3:uid="{9D94670D-0BEF-4D6A-9963-BB183D9F4407}" name="CT_Pushes" dataDxfId="5"/>
    <tableColumn id="24" xr3:uid="{CB373836-5A93-4184-9B25-BCD73A432671}" name="RR" totalsRowFunction="average" dataDxfId="4">
      <calculatedColumnFormula>IFERROR((Parabolic_tab[[#This Row],[Exit]]-Parabolic_tab[[#This Row],[Entry]])/(Parabolic_tab[[#This Row],[Entry]]-Parabolic_tab[[#This Row],[Support]]), "")</calculatedColumnFormula>
    </tableColumn>
    <tableColumn id="13" xr3:uid="{22BEE53E-D5BE-4CEC-9D77-D68B13F2B765}" name="T_Gap Fill Sector" dataDxfId="3"/>
    <tableColumn id="26" xr3:uid="{7EF61ED9-CCC5-4279-93A4-DA2084823870}" name="C_Form" dataDxfId="2"/>
    <tableColumn id="15" xr3:uid="{BB9BE508-A3F4-4FAF-93AE-2CB05E917375}" name="Work" dataDxfId="1">
      <calculatedColumnFormula>IFERROR(IF(Parabolic_tab[[#This Row],[RR]]&gt;1.6,"Yes","No"),"No Data")</calculatedColumnFormula>
    </tableColumn>
    <tableColumn id="14" xr3:uid="{685F947A-FA8C-4613-89E0-558EFE4E67D6}" name="C_Trade Day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F327F-3101-437F-9CFD-7374D6526975}">
  <dimension ref="A1:AF18"/>
  <sheetViews>
    <sheetView showGridLines="0" tabSelected="1" zoomScale="104" zoomScaleNormal="115" workbookViewId="0">
      <pane ySplit="1" topLeftCell="A2" activePane="bottomLeft" state="frozen"/>
      <selection pane="bottomLeft" activeCell="C12" sqref="C12"/>
    </sheetView>
  </sheetViews>
  <sheetFormatPr defaultColWidth="8.88671875" defaultRowHeight="14.4" x14ac:dyDescent="0.3"/>
  <cols>
    <col min="1" max="1" width="25.6640625" bestFit="1" customWidth="1"/>
    <col min="2" max="2" width="15" bestFit="1" customWidth="1"/>
    <col min="3" max="3" width="12.77734375" bestFit="1" customWidth="1"/>
    <col min="4" max="4" width="15" bestFit="1" customWidth="1"/>
    <col min="5" max="5" width="22.88671875" bestFit="1" customWidth="1"/>
    <col min="6" max="6" width="26.21875" bestFit="1" customWidth="1"/>
    <col min="7" max="7" width="17.33203125" bestFit="1" customWidth="1"/>
    <col min="8" max="8" width="18.77734375" bestFit="1" customWidth="1"/>
    <col min="9" max="9" width="9.109375" bestFit="1" customWidth="1"/>
    <col min="10" max="10" width="10" bestFit="1" customWidth="1"/>
    <col min="11" max="11" width="20.88671875" bestFit="1" customWidth="1"/>
    <col min="12" max="12" width="19.6640625" bestFit="1" customWidth="1"/>
    <col min="13" max="13" width="11.109375" bestFit="1" customWidth="1"/>
    <col min="14" max="15" width="12.109375" bestFit="1" customWidth="1"/>
    <col min="16" max="17" width="27.33203125" bestFit="1" customWidth="1"/>
    <col min="18" max="19" width="21.33203125" bestFit="1" customWidth="1"/>
    <col min="20" max="20" width="22.88671875" bestFit="1" customWidth="1"/>
    <col min="21" max="21" width="27.88671875" bestFit="1" customWidth="1"/>
    <col min="22" max="22" width="11.109375" bestFit="1" customWidth="1"/>
    <col min="23" max="23" width="11" bestFit="1" customWidth="1"/>
    <col min="24" max="25" width="12.33203125" bestFit="1" customWidth="1"/>
    <col min="26" max="26" width="16.77734375" bestFit="1" customWidth="1"/>
    <col min="27" max="27" width="21.33203125" bestFit="1" customWidth="1"/>
    <col min="28" max="28" width="9.6640625" bestFit="1" customWidth="1"/>
    <col min="29" max="30" width="15.5546875" bestFit="1" customWidth="1"/>
    <col min="31" max="31" width="7.77734375" bestFit="1" customWidth="1"/>
    <col min="32" max="33" width="12.77734375" bestFit="1" customWidth="1"/>
    <col min="34" max="34" width="8.6640625" bestFit="1" customWidth="1"/>
    <col min="35" max="35" width="13" bestFit="1" customWidth="1"/>
    <col min="36" max="36" width="12.33203125" bestFit="1" customWidth="1"/>
  </cols>
  <sheetData>
    <row r="1" spans="1:32" x14ac:dyDescent="0.3">
      <c r="A1" s="3" t="s">
        <v>0</v>
      </c>
      <c r="B1" s="4" t="s">
        <v>34</v>
      </c>
      <c r="C1" s="4" t="s">
        <v>17</v>
      </c>
      <c r="D1" s="4" t="s">
        <v>29</v>
      </c>
      <c r="E1" s="5" t="s">
        <v>36</v>
      </c>
      <c r="F1" s="5" t="s">
        <v>48</v>
      </c>
      <c r="G1" s="5" t="s">
        <v>55</v>
      </c>
      <c r="H1" s="4" t="s">
        <v>28</v>
      </c>
      <c r="I1" s="4" t="s">
        <v>7</v>
      </c>
      <c r="J1" s="4" t="s">
        <v>8</v>
      </c>
      <c r="K1" s="4" t="s">
        <v>49</v>
      </c>
      <c r="L1" s="4" t="s">
        <v>50</v>
      </c>
      <c r="M1" s="4" t="s">
        <v>4</v>
      </c>
      <c r="N1" s="4" t="s">
        <v>30</v>
      </c>
      <c r="O1" s="4" t="s">
        <v>56</v>
      </c>
      <c r="P1" s="4" t="s">
        <v>51</v>
      </c>
      <c r="Q1" s="4" t="s">
        <v>57</v>
      </c>
      <c r="R1" s="4" t="s">
        <v>35</v>
      </c>
      <c r="S1" s="5" t="s">
        <v>33</v>
      </c>
      <c r="T1" s="4" t="s">
        <v>58</v>
      </c>
      <c r="U1" s="4" t="s">
        <v>31</v>
      </c>
      <c r="V1" s="4" t="s">
        <v>32</v>
      </c>
      <c r="W1" s="4" t="s">
        <v>16</v>
      </c>
      <c r="X1" s="4" t="s">
        <v>21</v>
      </c>
      <c r="Y1" s="4" t="s">
        <v>59</v>
      </c>
      <c r="Z1" s="4" t="s">
        <v>60</v>
      </c>
      <c r="AA1" s="4" t="s">
        <v>61</v>
      </c>
      <c r="AB1" s="4" t="s">
        <v>37</v>
      </c>
      <c r="AC1" s="4" t="s">
        <v>62</v>
      </c>
      <c r="AD1" s="24" t="s">
        <v>52</v>
      </c>
      <c r="AE1" s="4" t="s">
        <v>5</v>
      </c>
      <c r="AF1" s="18" t="s">
        <v>53</v>
      </c>
    </row>
    <row r="2" spans="1:32" x14ac:dyDescent="0.3">
      <c r="A2" s="17" t="s">
        <v>45</v>
      </c>
      <c r="B2" s="12" t="s">
        <v>1</v>
      </c>
      <c r="C2" s="7">
        <v>46189</v>
      </c>
      <c r="D2" s="7">
        <v>46188</v>
      </c>
      <c r="E2" s="8">
        <v>0.16666666666666666</v>
      </c>
      <c r="F2" s="8" t="str">
        <f t="shared" ref="F2:F5" si="0">IF(E2=TIME(4,0,0),"Grupo 1 - 4 AM",
IF(E2&lt;TIME(7,0,0),"Grupo 2 - Menor a 7 AM",
IF(E2=TIME(7,0,0),"Grupo 3 - 7 AM",
IF(E2&lt;TIME(8,0,0),"Grupo 4 - Menor a 8 AM",
IF(E2&lt;TIME(8,30,0),"Grupo 5 - Menor a 8:30 AM",
IF(E2&lt;TIME(9,30,0),"Grupo 6 - Menor a 9:30 AM",
"Fuera de rango"))))))</f>
        <v>Grupo 1 - 4 AM</v>
      </c>
      <c r="G2" s="8" t="s">
        <v>20</v>
      </c>
      <c r="H2" s="20">
        <v>5.41</v>
      </c>
      <c r="I2" s="12">
        <v>16.23</v>
      </c>
      <c r="J2" s="12">
        <v>7.69</v>
      </c>
      <c r="K2" s="16" t="str">
        <f>IFERROR(
   IF(AND((Parabolic_tab[[#This Row],[Support]]/Parabolic_tab[[#This Row],[PMH]])-1 &gt;= -0.4, (Parabolic_tab[[#This Row],[Support]]/Parabolic_tab[[#This Row],[PMH]])-1 &lt;= 0),
      "Grupo 1 (-0.4% - 0%)",
      IF((Parabolic_tab[[#This Row],[Support]]/Parabolic_tab[[#This Row],[PMH]])-1 &gt;= -0.55,
         "Grupo 2 (-0.55% - -0.4%)",
         "Grupo 3 (inf - -0.55%)")),
"ERROR")</f>
        <v>Grupo 2 (-0.55% - -0.4%)</v>
      </c>
      <c r="L2" s="49" t="str">
        <f>IFERROR(
   IF(AND((Parabolic_tab[[#This Row],[Entry]]/Parabolic_tab[[#This Row],[Support]])-1 &lt;= 0.08,(Parabolic_tab[[#This Row],[Entry]]/Parabolic_tab[[#This Row],[Support]])-1 &gt;= 0),
      "Grupo 1 (0% - 0.8%)",
      IF(((Parabolic_tab[[#This Row],[Entry]]/Parabolic_tab[[#This Row],[Support]])-1)&lt;=0.15,
          "Grupo 2 (0.8% - 0.15%)",
          "Grupo 3 (0.15% - inf)")),
"ERROR")</f>
        <v>Grupo 2 (0.8% - 0.15%)</v>
      </c>
      <c r="M2" s="36">
        <v>8.5</v>
      </c>
      <c r="N2" s="8">
        <v>0.34583333333333333</v>
      </c>
      <c r="O2" s="8" t="str">
        <f t="shared" ref="O2:O5" si="1">IF(N2&lt;TIME(9,30,0),"PM",
 IF(N2&lt;TIME(9,45,0),"Market Open",
 IF(N2&lt;TIME(11,0,0),"TH",
 IF(N2&lt;TIME(14,0,0),"Lunch Time",
 IF(N2&lt;TIME(16,0,0),"Power Hour",
 IF(N2&lt;TIME(18,0,0),"AH",""))))))</f>
        <v>PM</v>
      </c>
      <c r="P2" s="12" t="s">
        <v>23</v>
      </c>
      <c r="Q2" s="12" t="s">
        <v>40</v>
      </c>
      <c r="R2" s="12" t="s">
        <v>1</v>
      </c>
      <c r="S2" s="12" t="s">
        <v>1</v>
      </c>
      <c r="T2" s="12" t="s">
        <v>18</v>
      </c>
      <c r="U2" s="12">
        <v>11.93</v>
      </c>
      <c r="V2" s="8">
        <v>0.37916666666666665</v>
      </c>
      <c r="W2" s="29">
        <f>IFERROR((Parabolic_tab[[#This Row],[Exit]]/Parabolic_tab[[#This Row],[Entry]])-1,"")</f>
        <v>0.40352941176470591</v>
      </c>
      <c r="X2" s="8">
        <f>IFERROR(Parabolic_tab[[#This Row],[Exit Time]]-Parabolic_tab[[#This Row],[Entry Time]],"")</f>
        <v>3.3333333333333326E-2</v>
      </c>
      <c r="Y2" s="29" t="str">
        <f>IFERROR(TEXT(Parabolic_tab[[#This Row],[Date]],"dddd"),"")</f>
        <v>martes</v>
      </c>
      <c r="Z2" s="6" t="s">
        <v>14</v>
      </c>
      <c r="AA2" s="12">
        <v>2</v>
      </c>
      <c r="AB2" s="37">
        <f>IFERROR((Parabolic_tab[[#This Row],[Exit]]-Parabolic_tab[[#This Row],[Entry]])/(Parabolic_tab[[#This Row],[Entry]]-Parabolic_tab[[#This Row],[Support]]), "")</f>
        <v>4.2345679012345698</v>
      </c>
      <c r="AC2" s="12" t="s">
        <v>15</v>
      </c>
      <c r="AD2" s="12" t="s">
        <v>27</v>
      </c>
      <c r="AE2" s="12" t="str">
        <f>IFERROR(IF(Parabolic_tab[[#This Row],[RR]]&gt;1.6,"Yes","No"),"No Data")</f>
        <v>Yes</v>
      </c>
      <c r="AF2" s="21" t="s">
        <v>44</v>
      </c>
    </row>
    <row r="3" spans="1:32" x14ac:dyDescent="0.3">
      <c r="A3" s="17" t="s">
        <v>65</v>
      </c>
      <c r="B3" s="12" t="s">
        <v>1</v>
      </c>
      <c r="C3" s="7">
        <v>46189</v>
      </c>
      <c r="D3" s="7">
        <v>46188</v>
      </c>
      <c r="E3" s="8">
        <v>0.2590277777777778</v>
      </c>
      <c r="F3" s="8" t="str">
        <f t="shared" si="0"/>
        <v>Grupo 2 - Menor a 7 AM</v>
      </c>
      <c r="G3" s="8" t="s">
        <v>39</v>
      </c>
      <c r="H3" s="20">
        <v>3.24</v>
      </c>
      <c r="I3" s="12">
        <v>9.6300000000000008</v>
      </c>
      <c r="J3" s="12">
        <v>3.81</v>
      </c>
      <c r="K3" s="16" t="str">
        <f>IFERROR(
   IF(AND((Parabolic_tab[[#This Row],[Support]]/Parabolic_tab[[#This Row],[PMH]])-1 &gt;= -0.4, (Parabolic_tab[[#This Row],[Support]]/Parabolic_tab[[#This Row],[PMH]])-1 &lt;= 0),
      "Grupo 1 (-0.4% - 0%)",
      IF((Parabolic_tab[[#This Row],[Support]]/Parabolic_tab[[#This Row],[PMH]])-1 &gt;= -0.55,
         "Grupo 2 (-0.55% - -0.4%)",
         "Grupo 3 (inf - -0.55%)")),
"ERROR")</f>
        <v>Grupo 3 (inf - -0.55%)</v>
      </c>
      <c r="L3" s="49" t="str">
        <f>IFERROR(
   IF(AND((Parabolic_tab[[#This Row],[Entry]]/Parabolic_tab[[#This Row],[Support]])-1 &lt;= 0.08,(Parabolic_tab[[#This Row],[Entry]]/Parabolic_tab[[#This Row],[Support]])-1 &gt;= 0),
      "Grupo 1 (0% - 0.8%)",
      IF(((Parabolic_tab[[#This Row],[Entry]]/Parabolic_tab[[#This Row],[Support]])-1)&lt;=0.15,
          "Grupo 2 (0.8% - 0.15%)",
          "Grupo 3 (0.15% - inf)")),
"ERROR")</f>
        <v>Grupo 3 (0.15% - inf)</v>
      </c>
      <c r="M3" s="36">
        <v>4.46</v>
      </c>
      <c r="N3" s="8">
        <v>0.45555555555555555</v>
      </c>
      <c r="O3" s="8" t="str">
        <f t="shared" si="1"/>
        <v>TH</v>
      </c>
      <c r="P3" s="16" t="s">
        <v>25</v>
      </c>
      <c r="Q3" s="6" t="s">
        <v>38</v>
      </c>
      <c r="R3" s="12" t="s">
        <v>1</v>
      </c>
      <c r="S3" s="12" t="s">
        <v>1</v>
      </c>
      <c r="T3" s="12" t="s">
        <v>18</v>
      </c>
      <c r="U3" s="12">
        <v>6.17</v>
      </c>
      <c r="V3" s="8">
        <v>0.46875</v>
      </c>
      <c r="W3" s="29">
        <f>IFERROR((Parabolic_tab[[#This Row],[Exit]]/Parabolic_tab[[#This Row],[Entry]])-1,"")</f>
        <v>0.38340807174887881</v>
      </c>
      <c r="X3" s="8">
        <f>IFERROR(Parabolic_tab[[#This Row],[Exit Time]]-Parabolic_tab[[#This Row],[Entry Time]],"")</f>
        <v>1.3194444444444453E-2</v>
      </c>
      <c r="Y3" s="29" t="str">
        <f>IFERROR(TEXT(Parabolic_tab[[#This Row],[Date]],"dddd"),"")</f>
        <v>martes</v>
      </c>
      <c r="Z3" s="6" t="s">
        <v>14</v>
      </c>
      <c r="AA3" s="12">
        <v>2</v>
      </c>
      <c r="AB3" s="37">
        <f>IFERROR((Parabolic_tab[[#This Row],[Exit]]-Parabolic_tab[[#This Row],[Entry]])/(Parabolic_tab[[#This Row],[Entry]]-Parabolic_tab[[#This Row],[Support]]), "")</f>
        <v>2.6307692307692312</v>
      </c>
      <c r="AC3" s="12">
        <v>2</v>
      </c>
      <c r="AD3" s="6" t="s">
        <v>26</v>
      </c>
      <c r="AE3" s="12" t="str">
        <f>IFERROR(IF(Parabolic_tab[[#This Row],[RR]]&gt;1.6,"Yes","No"),"No Data")</f>
        <v>Yes</v>
      </c>
      <c r="AF3" s="19" t="s">
        <v>43</v>
      </c>
    </row>
    <row r="4" spans="1:32" x14ac:dyDescent="0.3">
      <c r="A4" s="45" t="s">
        <v>66</v>
      </c>
      <c r="B4" s="32" t="s">
        <v>1</v>
      </c>
      <c r="C4" s="30">
        <v>46190</v>
      </c>
      <c r="D4" s="30">
        <v>46189</v>
      </c>
      <c r="E4" s="22">
        <v>0.29166666666666669</v>
      </c>
      <c r="F4" s="22" t="str">
        <f t="shared" si="0"/>
        <v>Grupo 3 - 7 AM</v>
      </c>
      <c r="G4" s="22" t="s">
        <v>39</v>
      </c>
      <c r="H4" s="31">
        <v>1.21</v>
      </c>
      <c r="I4" s="32">
        <v>5.29</v>
      </c>
      <c r="J4" s="32">
        <v>2.29</v>
      </c>
      <c r="K4" s="38" t="str">
        <f>IFERROR(
   IF(AND((Parabolic_tab[[#This Row],[Support]]/Parabolic_tab[[#This Row],[PMH]])-1 &gt;= -0.4, (Parabolic_tab[[#This Row],[Support]]/Parabolic_tab[[#This Row],[PMH]])-1 &lt;= 0),
      "Grupo 1 (-0.4% - 0%)",
      IF((Parabolic_tab[[#This Row],[Support]]/Parabolic_tab[[#This Row],[PMH]])-1 &gt;= -0.55,
         "Grupo 2 (-0.55% - -0.4%)",
         "Grupo 3 (inf - -0.55%)")),
"ERROR")</f>
        <v>Grupo 3 (inf - -0.55%)</v>
      </c>
      <c r="L4" s="46" t="str">
        <f>IFERROR(
   IF(AND((Parabolic_tab[[#This Row],[Entry]]/Parabolic_tab[[#This Row],[Support]])-1 &lt;= 0.08,(Parabolic_tab[[#This Row],[Entry]]/Parabolic_tab[[#This Row],[Support]])-1 &gt;= 0),
      "Grupo 1 (0% - 0.8%)",
      IF(((Parabolic_tab[[#This Row],[Entry]]/Parabolic_tab[[#This Row],[Support]])-1)&lt;=0.15,
          "Grupo 2 (0.8% - 0.15%)",
          "Grupo 3 (0.15% - inf)")),
"ERROR")</f>
        <v>Grupo 3 (0.15% - inf)</v>
      </c>
      <c r="M4" s="47">
        <v>2.66</v>
      </c>
      <c r="N4" s="22">
        <v>0.39861111111111114</v>
      </c>
      <c r="O4" s="22" t="str">
        <f t="shared" si="1"/>
        <v>Market Open</v>
      </c>
      <c r="P4" s="32" t="s">
        <v>13</v>
      </c>
      <c r="Q4" s="15" t="s">
        <v>38</v>
      </c>
      <c r="R4" s="32" t="s">
        <v>1</v>
      </c>
      <c r="S4" s="32" t="s">
        <v>2</v>
      </c>
      <c r="T4" s="32" t="s">
        <v>18</v>
      </c>
      <c r="U4" s="32">
        <v>2.68</v>
      </c>
      <c r="V4" s="22">
        <v>0.39861111111111114</v>
      </c>
      <c r="W4" s="41">
        <f>IFERROR((Parabolic_tab[[#This Row],[Exit]]/Parabolic_tab[[#This Row],[Entry]])-1,"")</f>
        <v>7.5187969924812581E-3</v>
      </c>
      <c r="X4" s="22">
        <f>IFERROR(Parabolic_tab[[#This Row],[Exit Time]]-Parabolic_tab[[#This Row],[Entry Time]],"")</f>
        <v>0</v>
      </c>
      <c r="Y4" s="41" t="str">
        <f>IFERROR(TEXT(Parabolic_tab[[#This Row],[Date]],"dddd"),"")</f>
        <v>miércoles</v>
      </c>
      <c r="Z4" s="15" t="s">
        <v>12</v>
      </c>
      <c r="AA4" s="32">
        <v>1</v>
      </c>
      <c r="AB4" s="40">
        <f>IFERROR((Parabolic_tab[[#This Row],[Exit]]-Parabolic_tab[[#This Row],[Entry]])/(Parabolic_tab[[#This Row],[Entry]]-Parabolic_tab[[#This Row],[Support]]), "")</f>
        <v>5.4054054054054085E-2</v>
      </c>
      <c r="AC4" s="32">
        <v>1</v>
      </c>
      <c r="AD4" s="15" t="s">
        <v>26</v>
      </c>
      <c r="AE4" s="32" t="str">
        <f>IFERROR(IF(Parabolic_tab[[#This Row],[RR]]&gt;1.6,"Yes","No"),"No Data")</f>
        <v>No</v>
      </c>
      <c r="AF4" s="35" t="s">
        <v>43</v>
      </c>
    </row>
    <row r="5" spans="1:32" x14ac:dyDescent="0.3">
      <c r="A5" s="42" t="s">
        <v>67</v>
      </c>
      <c r="B5" s="12" t="s">
        <v>1</v>
      </c>
      <c r="C5" s="7">
        <v>46190</v>
      </c>
      <c r="D5" s="7">
        <v>46189</v>
      </c>
      <c r="E5" s="10">
        <v>0.35069444444444442</v>
      </c>
      <c r="F5" s="8" t="str">
        <f t="shared" si="0"/>
        <v>Grupo 5 - Menor a 8:30 AM</v>
      </c>
      <c r="G5" s="10" t="s">
        <v>20</v>
      </c>
      <c r="H5" s="39">
        <v>2.145</v>
      </c>
      <c r="I5" s="25">
        <v>8.31</v>
      </c>
      <c r="J5" s="25">
        <v>3.4302999999999999</v>
      </c>
      <c r="K5" s="33" t="str">
        <f>IFERROR(
   IF(AND((Parabolic_tab[[#This Row],[Support]]/Parabolic_tab[[#This Row],[PMH]])-1 &gt;= -0.4, (Parabolic_tab[[#This Row],[Support]]/Parabolic_tab[[#This Row],[PMH]])-1 &lt;= 0),
      "Grupo 1 (-0.4% - 0%)",
      IF((Parabolic_tab[[#This Row],[Support]]/Parabolic_tab[[#This Row],[PMH]])-1 &gt;= -0.55,
         "Grupo 2 (-0.55% - -0.4%)",
         "Grupo 3 (inf - -0.55%)")),
"ERROR")</f>
        <v>Grupo 3 (inf - -0.55%)</v>
      </c>
      <c r="L5" s="43" t="str">
        <f>IFERROR(
   IF(AND((Parabolic_tab[[#This Row],[Entry]]/Parabolic_tab[[#This Row],[Support]])-1 &lt;= 0.08,(Parabolic_tab[[#This Row],[Entry]]/Parabolic_tab[[#This Row],[Support]])-1 &gt;= 0),
      "Grupo 1 (0% - 0.8%)",
      IF(((Parabolic_tab[[#This Row],[Entry]]/Parabolic_tab[[#This Row],[Support]])-1)&lt;=0.15,
          "Grupo 2 (0.8% - 0.15%)",
          "Grupo 3 (0.15% - inf)")),
"ERROR")</f>
        <v>Grupo 3 (0.15% - inf)</v>
      </c>
      <c r="M5" s="44">
        <v>4.3499999999999996</v>
      </c>
      <c r="N5" s="10">
        <v>0.39791666666666664</v>
      </c>
      <c r="O5" s="10" t="str">
        <f t="shared" si="1"/>
        <v>Market Open</v>
      </c>
      <c r="P5" s="6" t="s">
        <v>24</v>
      </c>
      <c r="Q5" s="12" t="s">
        <v>40</v>
      </c>
      <c r="R5" s="12" t="s">
        <v>6</v>
      </c>
      <c r="S5" s="12" t="s">
        <v>6</v>
      </c>
      <c r="T5" s="25" t="s">
        <v>68</v>
      </c>
      <c r="U5" s="25">
        <v>9.5399999999999991</v>
      </c>
      <c r="V5" s="10">
        <v>0.43125000000000002</v>
      </c>
      <c r="W5" s="34">
        <f>IFERROR((Parabolic_tab[[#This Row],[Exit]]/Parabolic_tab[[#This Row],[Entry]])-1,"")</f>
        <v>1.193103448275862</v>
      </c>
      <c r="X5" s="10">
        <f>IFERROR(Parabolic_tab[[#This Row],[Exit Time]]-Parabolic_tab[[#This Row],[Entry Time]],"")</f>
        <v>3.3333333333333381E-2</v>
      </c>
      <c r="Y5" s="34" t="str">
        <f>IFERROR(TEXT(Parabolic_tab[[#This Row],[Date]],"dddd"),"")</f>
        <v>miércoles</v>
      </c>
      <c r="Z5" s="28" t="s">
        <v>10</v>
      </c>
      <c r="AA5" s="25">
        <v>2</v>
      </c>
      <c r="AB5" s="1">
        <f>IFERROR((Parabolic_tab[[#This Row],[Exit]]-Parabolic_tab[[#This Row],[Entry]])/(Parabolic_tab[[#This Row],[Entry]]-Parabolic_tab[[#This Row],[Support]]), "")</f>
        <v>5.6431445036424934</v>
      </c>
      <c r="AC5" s="25" t="s">
        <v>3</v>
      </c>
      <c r="AD5" s="12" t="s">
        <v>27</v>
      </c>
      <c r="AE5" s="25" t="str">
        <f>IFERROR(IF(Parabolic_tab[[#This Row],[RR]]&gt;1.6,"Yes","No"),"No Data")</f>
        <v>Yes</v>
      </c>
      <c r="AF5" s="21" t="s">
        <v>44</v>
      </c>
    </row>
    <row r="6" spans="1:32" x14ac:dyDescent="0.3">
      <c r="A6" s="45" t="s">
        <v>69</v>
      </c>
      <c r="B6" s="32" t="s">
        <v>1</v>
      </c>
      <c r="C6" s="30">
        <v>46191</v>
      </c>
      <c r="D6" s="30">
        <v>46190</v>
      </c>
      <c r="E6" s="22">
        <v>0.33402777777777776</v>
      </c>
      <c r="F6" s="22" t="str">
        <f t="shared" ref="F6:F11" si="2">IF(E6=TIME(4,0,0),"Grupo 1 - 4 AM",
IF(E6&lt;TIME(7,0,0),"Grupo 2 - Menor a 7 AM",
IF(E6=TIME(7,0,0),"Grupo 3 - 7 AM",
IF(E6&lt;TIME(8,0,0),"Grupo 4 - Menor a 8 AM",
IF(E6&lt;TIME(8,30,0),"Grupo 5 - Menor a 8:30 AM",
IF(E6&lt;TIME(9,30,0),"Grupo 6 - Menor a 9:30 AM",
"Fuera de rango"))))))</f>
        <v>Grupo 5 - Menor a 8:30 AM</v>
      </c>
      <c r="G6" s="22" t="s">
        <v>39</v>
      </c>
      <c r="H6" s="31">
        <v>0.5917</v>
      </c>
      <c r="I6" s="32">
        <v>1.25</v>
      </c>
      <c r="J6" s="32">
        <v>0.84</v>
      </c>
      <c r="K6" s="38" t="str">
        <f>IFERROR(
   IF(AND((Parabolic_tab[[#This Row],[Support]]/Parabolic_tab[[#This Row],[PMH]])-1 &gt;= -0.4, (Parabolic_tab[[#This Row],[Support]]/Parabolic_tab[[#This Row],[PMH]])-1 &lt;= 0),
      "Grupo 1 (-0.4% - 0%)",
      IF((Parabolic_tab[[#This Row],[Support]]/Parabolic_tab[[#This Row],[PMH]])-1 &gt;= -0.55,
         "Grupo 2 (-0.55% - -0.4%)",
         "Grupo 3 (inf - -0.55%)")),
"ERROR")</f>
        <v>Grupo 1 (-0.4% - 0%)</v>
      </c>
      <c r="L6" s="46" t="str">
        <f>IFERROR(
   IF(AND((Parabolic_tab[[#This Row],[Entry]]/Parabolic_tab[[#This Row],[Support]])-1 &lt;= 0.08,(Parabolic_tab[[#This Row],[Entry]]/Parabolic_tab[[#This Row],[Support]])-1 &gt;= 0),
      "Grupo 1 (0% - 0.8%)",
      IF(((Parabolic_tab[[#This Row],[Entry]]/Parabolic_tab[[#This Row],[Support]])-1)&lt;=0.15,
          "Grupo 2 (0.8% - 0.15%)",
          "Grupo 3 (0.15% - inf)")),
"ERROR")</f>
        <v>Grupo 3 (0.15% - inf)</v>
      </c>
      <c r="M6" s="47">
        <v>1.01</v>
      </c>
      <c r="N6" s="22">
        <v>0.40486111111111112</v>
      </c>
      <c r="O6" s="22" t="str">
        <f t="shared" ref="O6:O11" si="3">IF(N6&lt;TIME(9,30,0),"PM",
 IF(N6&lt;TIME(9,45,0),"Market Open",
 IF(N6&lt;TIME(11,0,0),"TH",
 IF(N6&lt;TIME(14,0,0),"Lunch Time",
 IF(N6&lt;TIME(16,0,0),"Power Hour",
 IF(N6&lt;TIME(18,0,0),"AH",""))))))</f>
        <v>Market Open</v>
      </c>
      <c r="P6" s="38" t="s">
        <v>25</v>
      </c>
      <c r="Q6" s="32" t="s">
        <v>40</v>
      </c>
      <c r="R6" s="32" t="s">
        <v>6</v>
      </c>
      <c r="S6" s="32" t="s">
        <v>6</v>
      </c>
      <c r="T6" s="32" t="s">
        <v>70</v>
      </c>
      <c r="U6" s="32">
        <v>1.04</v>
      </c>
      <c r="V6" s="22">
        <v>0.40555555555555556</v>
      </c>
      <c r="W6" s="41">
        <f>IFERROR((Parabolic_tab[[#This Row],[Exit]]/Parabolic_tab[[#This Row],[Entry]])-1,"")</f>
        <v>2.9702970297029729E-2</v>
      </c>
      <c r="X6" s="22">
        <f>IFERROR(Parabolic_tab[[#This Row],[Exit Time]]-Parabolic_tab[[#This Row],[Entry Time]],"")</f>
        <v>6.9444444444444198E-4</v>
      </c>
      <c r="Y6" s="41" t="str">
        <f>IFERROR(TEXT(Parabolic_tab[[#This Row],[Date]],"dddd"),"")</f>
        <v>jueves</v>
      </c>
      <c r="Z6" s="15" t="s">
        <v>14</v>
      </c>
      <c r="AA6" s="32">
        <v>1</v>
      </c>
      <c r="AB6" s="40">
        <f>IFERROR((Parabolic_tab[[#This Row],[Exit]]-Parabolic_tab[[#This Row],[Entry]])/(Parabolic_tab[[#This Row],[Entry]]-Parabolic_tab[[#This Row],[Support]]), "")</f>
        <v>0.17647058823529424</v>
      </c>
      <c r="AC6" s="32" t="s">
        <v>15</v>
      </c>
      <c r="AD6" s="32" t="s">
        <v>27</v>
      </c>
      <c r="AE6" s="32" t="str">
        <f>IFERROR(IF(Parabolic_tab[[#This Row],[RR]]&gt;1.6,"Yes","No"),"No Data")</f>
        <v>No</v>
      </c>
      <c r="AF6" s="48" t="s">
        <v>44</v>
      </c>
    </row>
    <row r="7" spans="1:32" x14ac:dyDescent="0.3">
      <c r="A7" s="45" t="s">
        <v>71</v>
      </c>
      <c r="B7" s="32" t="s">
        <v>1</v>
      </c>
      <c r="C7" s="30">
        <v>46191</v>
      </c>
      <c r="D7" s="30">
        <v>46190</v>
      </c>
      <c r="E7" s="22">
        <v>0.35416666666666669</v>
      </c>
      <c r="F7" s="22" t="str">
        <f t="shared" si="2"/>
        <v>Grupo 6 - Menor a 9:30 AM</v>
      </c>
      <c r="G7" s="22" t="s">
        <v>39</v>
      </c>
      <c r="H7" s="31">
        <v>0.70950000000000002</v>
      </c>
      <c r="I7" s="32">
        <v>1.96</v>
      </c>
      <c r="J7" s="32">
        <v>1.17</v>
      </c>
      <c r="K7" s="38" t="str">
        <f>IFERROR(
   IF(AND((Parabolic_tab[[#This Row],[Support]]/Parabolic_tab[[#This Row],[PMH]])-1 &gt;= -0.4, (Parabolic_tab[[#This Row],[Support]]/Parabolic_tab[[#This Row],[PMH]])-1 &lt;= 0),
      "Grupo 1 (-0.4% - 0%)",
      IF((Parabolic_tab[[#This Row],[Support]]/Parabolic_tab[[#This Row],[PMH]])-1 &gt;= -0.55,
         "Grupo 2 (-0.55% - -0.4%)",
         "Grupo 3 (inf - -0.55%)")),
"ERROR")</f>
        <v>Grupo 2 (-0.55% - -0.4%)</v>
      </c>
      <c r="L7" s="46" t="str">
        <f>IFERROR(
   IF(AND((Parabolic_tab[[#This Row],[Entry]]/Parabolic_tab[[#This Row],[Support]])-1 &lt;= 0.08,(Parabolic_tab[[#This Row],[Entry]]/Parabolic_tab[[#This Row],[Support]])-1 &gt;= 0),
      "Grupo 1 (0% - 0.8%)",
      IF(((Parabolic_tab[[#This Row],[Entry]]/Parabolic_tab[[#This Row],[Support]])-1)&lt;=0.15,
          "Grupo 2 (0.8% - 0.15%)",
          "Grupo 3 (0.15% - inf)")),
"ERROR")</f>
        <v>Grupo 3 (0.15% - inf)</v>
      </c>
      <c r="M7" s="47">
        <v>1.51</v>
      </c>
      <c r="N7" s="22">
        <v>0.40833333333333333</v>
      </c>
      <c r="O7" s="22" t="str">
        <f t="shared" si="3"/>
        <v>TH</v>
      </c>
      <c r="P7" s="38" t="s">
        <v>25</v>
      </c>
      <c r="Q7" s="32" t="s">
        <v>40</v>
      </c>
      <c r="R7" s="32" t="s">
        <v>6</v>
      </c>
      <c r="S7" s="32" t="s">
        <v>6</v>
      </c>
      <c r="T7" s="32" t="s">
        <v>72</v>
      </c>
      <c r="U7" s="32">
        <v>1.8</v>
      </c>
      <c r="V7" s="22">
        <v>0.41180555555555554</v>
      </c>
      <c r="W7" s="41">
        <f>IFERROR((Parabolic_tab[[#This Row],[Exit]]/Parabolic_tab[[#This Row],[Entry]])-1,"")</f>
        <v>0.19205298013245042</v>
      </c>
      <c r="X7" s="22">
        <f>IFERROR(Parabolic_tab[[#This Row],[Exit Time]]-Parabolic_tab[[#This Row],[Entry Time]],"")</f>
        <v>3.4722222222222099E-3</v>
      </c>
      <c r="Y7" s="41" t="str">
        <f>IFERROR(TEXT(Parabolic_tab[[#This Row],[Date]],"dddd"),"")</f>
        <v>jueves</v>
      </c>
      <c r="Z7" s="15" t="s">
        <v>14</v>
      </c>
      <c r="AA7" s="32">
        <v>1</v>
      </c>
      <c r="AB7" s="40">
        <f>IFERROR((Parabolic_tab[[#This Row],[Exit]]-Parabolic_tab[[#This Row],[Entry]])/(Parabolic_tab[[#This Row],[Entry]]-Parabolic_tab[[#This Row],[Support]]), "")</f>
        <v>0.85294117647058809</v>
      </c>
      <c r="AC7" s="32">
        <v>4</v>
      </c>
      <c r="AD7" s="32" t="s">
        <v>27</v>
      </c>
      <c r="AE7" s="32" t="str">
        <f>IFERROR(IF(Parabolic_tab[[#This Row],[RR]]&gt;1.6,"Yes","No"),"No Data")</f>
        <v>No</v>
      </c>
      <c r="AF7" s="48" t="s">
        <v>44</v>
      </c>
    </row>
    <row r="8" spans="1:32" x14ac:dyDescent="0.3">
      <c r="A8" s="42" t="s">
        <v>73</v>
      </c>
      <c r="B8" s="12" t="s">
        <v>1</v>
      </c>
      <c r="C8" s="7">
        <v>46195</v>
      </c>
      <c r="D8" s="7">
        <v>46191</v>
      </c>
      <c r="E8" s="10">
        <v>0.16666666666666666</v>
      </c>
      <c r="F8" s="8" t="str">
        <f t="shared" si="2"/>
        <v>Grupo 1 - 4 AM</v>
      </c>
      <c r="G8" s="10" t="s">
        <v>20</v>
      </c>
      <c r="H8" s="39">
        <v>0.64200000000000002</v>
      </c>
      <c r="I8" s="25">
        <v>2.66</v>
      </c>
      <c r="J8" s="25">
        <v>1.1299999999999999</v>
      </c>
      <c r="K8" s="33" t="str">
        <f>IFERROR(
   IF(AND((Parabolic_tab[[#This Row],[Support]]/Parabolic_tab[[#This Row],[PMH]])-1 &gt;= -0.4, (Parabolic_tab[[#This Row],[Support]]/Parabolic_tab[[#This Row],[PMH]])-1 &lt;= 0),
      "Grupo 1 (-0.4% - 0%)",
      IF((Parabolic_tab[[#This Row],[Support]]/Parabolic_tab[[#This Row],[PMH]])-1 &gt;= -0.55,
         "Grupo 2 (-0.55% - -0.4%)",
         "Grupo 3 (inf - -0.55%)")),
"ERROR")</f>
        <v>Grupo 3 (inf - -0.55%)</v>
      </c>
      <c r="L8" s="43" t="str">
        <f>IFERROR(
   IF(AND((Parabolic_tab[[#This Row],[Entry]]/Parabolic_tab[[#This Row],[Support]])-1 &lt;= 0.08,(Parabolic_tab[[#This Row],[Entry]]/Parabolic_tab[[#This Row],[Support]])-1 &gt;= 0),
      "Grupo 1 (0% - 0.8%)",
      IF(((Parabolic_tab[[#This Row],[Entry]]/Parabolic_tab[[#This Row],[Support]])-1)&lt;=0.15,
          "Grupo 2 (0.8% - 0.15%)",
          "Grupo 3 (0.15% - inf)")),
"ERROR")</f>
        <v>Grupo 2 (0.8% - 0.15%)</v>
      </c>
      <c r="M8" s="44">
        <v>1.26</v>
      </c>
      <c r="N8" s="10">
        <v>0.45208333333333334</v>
      </c>
      <c r="O8" s="10" t="str">
        <f t="shared" si="3"/>
        <v>TH</v>
      </c>
      <c r="P8" s="16" t="s">
        <v>25</v>
      </c>
      <c r="Q8" s="6" t="s">
        <v>38</v>
      </c>
      <c r="R8" s="12" t="s">
        <v>1</v>
      </c>
      <c r="S8" s="12" t="s">
        <v>1</v>
      </c>
      <c r="T8" s="25" t="s">
        <v>74</v>
      </c>
      <c r="U8" s="25">
        <v>1.48</v>
      </c>
      <c r="V8" s="10">
        <v>0.49861111111111112</v>
      </c>
      <c r="W8" s="34">
        <f>IFERROR((Parabolic_tab[[#This Row],[Exit]]/Parabolic_tab[[#This Row],[Entry]])-1,"")</f>
        <v>0.17460317460317465</v>
      </c>
      <c r="X8" s="10">
        <f>IFERROR(Parabolic_tab[[#This Row],[Exit Time]]-Parabolic_tab[[#This Row],[Entry Time]],"")</f>
        <v>4.6527777777777779E-2</v>
      </c>
      <c r="Y8" s="34" t="str">
        <f>IFERROR(TEXT(Parabolic_tab[[#This Row],[Date]],"dddd"),"")</f>
        <v>lunes</v>
      </c>
      <c r="Z8" s="6" t="s">
        <v>14</v>
      </c>
      <c r="AA8" s="25">
        <v>1</v>
      </c>
      <c r="AB8" s="1">
        <f>IFERROR((Parabolic_tab[[#This Row],[Exit]]-Parabolic_tab[[#This Row],[Entry]])/(Parabolic_tab[[#This Row],[Entry]]-Parabolic_tab[[#This Row],[Support]]), "")</f>
        <v>1.6923076923076905</v>
      </c>
      <c r="AC8" s="25" t="s">
        <v>11</v>
      </c>
      <c r="AD8" s="6" t="s">
        <v>26</v>
      </c>
      <c r="AE8" s="25" t="str">
        <f>IFERROR(IF(Parabolic_tab[[#This Row],[RR]]&gt;1.6,"Yes","No"),"No Data")</f>
        <v>Yes</v>
      </c>
      <c r="AF8" s="21" t="s">
        <v>44</v>
      </c>
    </row>
    <row r="9" spans="1:32" x14ac:dyDescent="0.3">
      <c r="A9" s="45" t="s">
        <v>75</v>
      </c>
      <c r="B9" s="32" t="s">
        <v>1</v>
      </c>
      <c r="C9" s="30">
        <v>46196</v>
      </c>
      <c r="D9" s="30">
        <v>46195</v>
      </c>
      <c r="E9" s="22">
        <v>0.19375000000000001</v>
      </c>
      <c r="F9" s="22" t="str">
        <f t="shared" si="2"/>
        <v>Grupo 2 - Menor a 7 AM</v>
      </c>
      <c r="G9" s="22" t="s">
        <v>39</v>
      </c>
      <c r="H9" s="31">
        <v>1.38</v>
      </c>
      <c r="I9" s="32">
        <v>4.7</v>
      </c>
      <c r="J9" s="32">
        <v>1.86</v>
      </c>
      <c r="K9" s="38" t="str">
        <f>IFERROR(
   IF(AND((Parabolic_tab[[#This Row],[Support]]/Parabolic_tab[[#This Row],[PMH]])-1 &gt;= -0.4, (Parabolic_tab[[#This Row],[Support]]/Parabolic_tab[[#This Row],[PMH]])-1 &lt;= 0),
      "Grupo 1 (-0.4% - 0%)",
      IF((Parabolic_tab[[#This Row],[Support]]/Parabolic_tab[[#This Row],[PMH]])-1 &gt;= -0.55,
         "Grupo 2 (-0.55% - -0.4%)",
         "Grupo 3 (inf - -0.55%)")),
"ERROR")</f>
        <v>Grupo 3 (inf - -0.55%)</v>
      </c>
      <c r="L9" s="46" t="str">
        <f>IFERROR(
   IF(AND((Parabolic_tab[[#This Row],[Entry]]/Parabolic_tab[[#This Row],[Support]])-1 &lt;= 0.08,(Parabolic_tab[[#This Row],[Entry]]/Parabolic_tab[[#This Row],[Support]])-1 &gt;= 0),
      "Grupo 1 (0% - 0.8%)",
      IF(((Parabolic_tab[[#This Row],[Entry]]/Parabolic_tab[[#This Row],[Support]])-1)&lt;=0.15,
          "Grupo 2 (0.8% - 0.15%)",
          "Grupo 3 (0.15% - inf)")),
"ERROR")</f>
        <v>Grupo 3 (0.15% - inf)</v>
      </c>
      <c r="M9" s="47">
        <v>2.42</v>
      </c>
      <c r="N9" s="22">
        <v>0.39652777777777776</v>
      </c>
      <c r="O9" s="22" t="str">
        <f t="shared" si="3"/>
        <v>Market Open</v>
      </c>
      <c r="P9" s="38" t="s">
        <v>41</v>
      </c>
      <c r="Q9" s="32" t="s">
        <v>40</v>
      </c>
      <c r="R9" s="32" t="s">
        <v>6</v>
      </c>
      <c r="S9" s="32" t="s">
        <v>6</v>
      </c>
      <c r="T9" s="32" t="s">
        <v>18</v>
      </c>
      <c r="U9" s="32">
        <v>3.0798999999999999</v>
      </c>
      <c r="V9" s="22">
        <v>0.39791666666666664</v>
      </c>
      <c r="W9" s="41">
        <f>IFERROR((Parabolic_tab[[#This Row],[Exit]]/Parabolic_tab[[#This Row],[Entry]])-1,"")</f>
        <v>0.27268595041322308</v>
      </c>
      <c r="X9" s="22">
        <f>IFERROR(Parabolic_tab[[#This Row],[Exit Time]]-Parabolic_tab[[#This Row],[Entry Time]],"")</f>
        <v>1.388888888888884E-3</v>
      </c>
      <c r="Y9" s="41" t="str">
        <f>IFERROR(TEXT(Parabolic_tab[[#This Row],[Date]],"dddd"),"")</f>
        <v>martes</v>
      </c>
      <c r="Z9" s="32" t="s">
        <v>10</v>
      </c>
      <c r="AA9" s="32">
        <v>1</v>
      </c>
      <c r="AB9" s="40">
        <f>IFERROR((Parabolic_tab[[#This Row],[Exit]]-Parabolic_tab[[#This Row],[Entry]])/(Parabolic_tab[[#This Row],[Entry]]-Parabolic_tab[[#This Row],[Support]]), "")</f>
        <v>1.1783928571428575</v>
      </c>
      <c r="AC9" s="32" t="s">
        <v>9</v>
      </c>
      <c r="AD9" s="32" t="s">
        <v>27</v>
      </c>
      <c r="AE9" s="32" t="str">
        <f>IFERROR(IF(Parabolic_tab[[#This Row],[RR]]&gt;1.6,"Yes","No"),"No Data")</f>
        <v>No</v>
      </c>
      <c r="AF9" s="48" t="s">
        <v>44</v>
      </c>
    </row>
    <row r="10" spans="1:32" x14ac:dyDescent="0.3">
      <c r="A10" s="45" t="s">
        <v>76</v>
      </c>
      <c r="B10" s="32" t="s">
        <v>1</v>
      </c>
      <c r="C10" s="30">
        <v>46197</v>
      </c>
      <c r="D10" s="30">
        <v>46196</v>
      </c>
      <c r="E10" s="22">
        <v>0.30972222222222223</v>
      </c>
      <c r="F10" s="22" t="str">
        <f t="shared" si="2"/>
        <v>Grupo 4 - Menor a 8 AM</v>
      </c>
      <c r="G10" s="22" t="s">
        <v>20</v>
      </c>
      <c r="H10" s="31">
        <v>1.7949999999999999</v>
      </c>
      <c r="I10" s="32">
        <v>6.4</v>
      </c>
      <c r="J10" s="32">
        <v>2.4900000000000002</v>
      </c>
      <c r="K10" s="38" t="str">
        <f>IFERROR(
   IF(AND((Parabolic_tab[[#This Row],[Support]]/Parabolic_tab[[#This Row],[PMH]])-1 &gt;= -0.4, (Parabolic_tab[[#This Row],[Support]]/Parabolic_tab[[#This Row],[PMH]])-1 &lt;= 0),
      "Grupo 1 (-0.4% - 0%)",
      IF((Parabolic_tab[[#This Row],[Support]]/Parabolic_tab[[#This Row],[PMH]])-1 &gt;= -0.55,
         "Grupo 2 (-0.55% - -0.4%)",
         "Grupo 3 (inf - -0.55%)")),
"ERROR")</f>
        <v>Grupo 3 (inf - -0.55%)</v>
      </c>
      <c r="L10" s="46" t="str">
        <f>IFERROR(
   IF(AND((Parabolic_tab[[#This Row],[Entry]]/Parabolic_tab[[#This Row],[Support]])-1 &lt;= 0.08,(Parabolic_tab[[#This Row],[Entry]]/Parabolic_tab[[#This Row],[Support]])-1 &gt;= 0),
      "Grupo 1 (0% - 0.8%)",
      IF(((Parabolic_tab[[#This Row],[Entry]]/Parabolic_tab[[#This Row],[Support]])-1)&lt;=0.15,
          "Grupo 2 (0.8% - 0.15%)",
          "Grupo 3 (0.15% - inf)")),
"ERROR")</f>
        <v>Grupo 3 (0.15% - inf)</v>
      </c>
      <c r="M10" s="47">
        <v>3.49</v>
      </c>
      <c r="N10" s="22">
        <v>0.4</v>
      </c>
      <c r="O10" s="22" t="str">
        <f t="shared" si="3"/>
        <v>Market Open</v>
      </c>
      <c r="P10" s="38" t="s">
        <v>41</v>
      </c>
      <c r="Q10" s="32" t="s">
        <v>40</v>
      </c>
      <c r="R10" s="32" t="s">
        <v>6</v>
      </c>
      <c r="S10" s="32" t="s">
        <v>6</v>
      </c>
      <c r="T10" s="32" t="s">
        <v>78</v>
      </c>
      <c r="U10" s="32">
        <v>3.9199000000000002</v>
      </c>
      <c r="V10" s="22">
        <v>0.40069444444444446</v>
      </c>
      <c r="W10" s="41">
        <f>IFERROR((Parabolic_tab[[#This Row],[Exit]]/Parabolic_tab[[#This Row],[Entry]])-1,"")</f>
        <v>0.12318051575931221</v>
      </c>
      <c r="X10" s="22">
        <f>IFERROR(Parabolic_tab[[#This Row],[Exit Time]]-Parabolic_tab[[#This Row],[Entry Time]],"")</f>
        <v>6.9444444444444198E-4</v>
      </c>
      <c r="Y10" s="41" t="str">
        <f>IFERROR(TEXT(Parabolic_tab[[#This Row],[Date]],"dddd"),"")</f>
        <v>miércoles</v>
      </c>
      <c r="Z10" s="15" t="s">
        <v>14</v>
      </c>
      <c r="AA10" s="32">
        <v>1</v>
      </c>
      <c r="AB10" s="40">
        <f>IFERROR((Parabolic_tab[[#This Row],[Exit]]-Parabolic_tab[[#This Row],[Entry]])/(Parabolic_tab[[#This Row],[Entry]]-Parabolic_tab[[#This Row],[Support]]), "")</f>
        <v>0.42989999999999995</v>
      </c>
      <c r="AC10" s="32" t="s">
        <v>9</v>
      </c>
      <c r="AD10" s="32" t="s">
        <v>27</v>
      </c>
      <c r="AE10" s="32" t="str">
        <f>IFERROR(IF(Parabolic_tab[[#This Row],[RR]]&gt;1.6,"Yes","No"),"No Data")</f>
        <v>No</v>
      </c>
      <c r="AF10" s="48" t="s">
        <v>44</v>
      </c>
    </row>
    <row r="11" spans="1:32" x14ac:dyDescent="0.3">
      <c r="A11" s="45" t="s">
        <v>77</v>
      </c>
      <c r="B11" s="32" t="s">
        <v>1</v>
      </c>
      <c r="C11" s="30">
        <v>46197</v>
      </c>
      <c r="D11" s="30">
        <v>46196</v>
      </c>
      <c r="E11" s="22">
        <v>0.29166666666666669</v>
      </c>
      <c r="F11" s="22" t="str">
        <f t="shared" si="2"/>
        <v>Grupo 3 - 7 AM</v>
      </c>
      <c r="G11" s="22" t="s">
        <v>39</v>
      </c>
      <c r="H11" s="31">
        <v>3.41</v>
      </c>
      <c r="I11" s="32">
        <v>19.52</v>
      </c>
      <c r="J11" s="32">
        <v>8.1999999999999993</v>
      </c>
      <c r="K11" s="38" t="str">
        <f>IFERROR(
   IF(AND((Parabolic_tab[[#This Row],[Support]]/Parabolic_tab[[#This Row],[PMH]])-1 &gt;= -0.4, (Parabolic_tab[[#This Row],[Support]]/Parabolic_tab[[#This Row],[PMH]])-1 &lt;= 0),
      "Grupo 1 (-0.4% - 0%)",
      IF((Parabolic_tab[[#This Row],[Support]]/Parabolic_tab[[#This Row],[PMH]])-1 &gt;= -0.55,
         "Grupo 2 (-0.55% - -0.4%)",
         "Grupo 3 (inf - -0.55%)")),
"ERROR")</f>
        <v>Grupo 3 (inf - -0.55%)</v>
      </c>
      <c r="L11" s="46" t="str">
        <f>IFERROR(
   IF(AND((Parabolic_tab[[#This Row],[Entry]]/Parabolic_tab[[#This Row],[Support]])-1 &lt;= 0.08,(Parabolic_tab[[#This Row],[Entry]]/Parabolic_tab[[#This Row],[Support]])-1 &gt;= 0),
      "Grupo 1 (0% - 0.8%)",
      IF(((Parabolic_tab[[#This Row],[Entry]]/Parabolic_tab[[#This Row],[Support]])-1)&lt;=0.15,
          "Grupo 2 (0.8% - 0.15%)",
          "Grupo 3 (0.15% - inf)")),
"ERROR")</f>
        <v>Grupo 3 (0.15% - inf)</v>
      </c>
      <c r="M11" s="47">
        <v>10.89</v>
      </c>
      <c r="N11" s="22">
        <v>0.39583333333333331</v>
      </c>
      <c r="O11" s="22" t="str">
        <f t="shared" si="3"/>
        <v>Market Open</v>
      </c>
      <c r="P11" s="38" t="s">
        <v>41</v>
      </c>
      <c r="Q11" s="32" t="s">
        <v>40</v>
      </c>
      <c r="R11" s="32" t="s">
        <v>6</v>
      </c>
      <c r="S11" s="32" t="s">
        <v>6</v>
      </c>
      <c r="T11" s="32" t="s">
        <v>79</v>
      </c>
      <c r="U11" s="32">
        <v>12.97</v>
      </c>
      <c r="V11" s="22">
        <v>0.39930555555555558</v>
      </c>
      <c r="W11" s="41">
        <f>IFERROR((Parabolic_tab[[#This Row],[Exit]]/Parabolic_tab[[#This Row],[Entry]])-1,"")</f>
        <v>0.19100091827364563</v>
      </c>
      <c r="X11" s="22">
        <f>IFERROR(Parabolic_tab[[#This Row],[Exit Time]]-Parabolic_tab[[#This Row],[Entry Time]],"")</f>
        <v>3.4722222222222654E-3</v>
      </c>
      <c r="Y11" s="41" t="str">
        <f>IFERROR(TEXT(Parabolic_tab[[#This Row],[Date]],"dddd"),"")</f>
        <v>miércoles</v>
      </c>
      <c r="Z11" s="15" t="s">
        <v>14</v>
      </c>
      <c r="AA11" s="32">
        <v>1</v>
      </c>
      <c r="AB11" s="40">
        <f>IFERROR((Parabolic_tab[[#This Row],[Exit]]-Parabolic_tab[[#This Row],[Entry]])/(Parabolic_tab[[#This Row],[Entry]]-Parabolic_tab[[#This Row],[Support]]), "")</f>
        <v>0.77323420074349414</v>
      </c>
      <c r="AC11" s="32" t="s">
        <v>9</v>
      </c>
      <c r="AD11" s="32" t="s">
        <v>27</v>
      </c>
      <c r="AE11" s="32" t="str">
        <f>IFERROR(IF(Parabolic_tab[[#This Row],[RR]]&gt;1.6,"Yes","No"),"No Data")</f>
        <v>No</v>
      </c>
      <c r="AF11" s="35" t="s">
        <v>43</v>
      </c>
    </row>
    <row r="12" spans="1:32" x14ac:dyDescent="0.3">
      <c r="A12" s="45" t="s">
        <v>80</v>
      </c>
      <c r="B12" s="32" t="s">
        <v>1</v>
      </c>
      <c r="C12" s="30">
        <v>46199</v>
      </c>
      <c r="D12" s="30">
        <v>46198</v>
      </c>
      <c r="E12" s="22">
        <v>0.29166666666666669</v>
      </c>
      <c r="F12" s="22" t="str">
        <f t="shared" ref="F12:F18" si="4">IF(E12=TIME(4,0,0),"Grupo 1 - 4 AM",
IF(E12&lt;TIME(7,0,0),"Grupo 2 - Menor a 7 AM",
IF(E12=TIME(7,0,0),"Grupo 3 - 7 AM",
IF(E12&lt;TIME(8,0,0),"Grupo 4 - Menor a 8 AM",
IF(E12&lt;TIME(8,30,0),"Grupo 5 - Menor a 8:30 AM",
IF(E12&lt;TIME(9,30,0),"Grupo 6 - Menor a 9:30 AM",
"Fuera de rango"))))))</f>
        <v>Grupo 3 - 7 AM</v>
      </c>
      <c r="G12" s="22" t="s">
        <v>39</v>
      </c>
      <c r="H12" s="31">
        <v>2.95</v>
      </c>
      <c r="I12" s="32">
        <v>4.49</v>
      </c>
      <c r="J12" s="32">
        <v>3.26</v>
      </c>
      <c r="K12" s="38" t="str">
        <f>IFERROR(
   IF(AND((Parabolic_tab[[#This Row],[Support]]/Parabolic_tab[[#This Row],[PMH]])-1 &gt;= -0.4, (Parabolic_tab[[#This Row],[Support]]/Parabolic_tab[[#This Row],[PMH]])-1 &lt;= 0),
      "Grupo 1 (-0.4% - 0%)",
      IF((Parabolic_tab[[#This Row],[Support]]/Parabolic_tab[[#This Row],[PMH]])-1 &gt;= -0.55,
         "Grupo 2 (-0.55% - -0.4%)",
         "Grupo 3 (inf - -0.55%)")),
"ERROR")</f>
        <v>Grupo 1 (-0.4% - 0%)</v>
      </c>
      <c r="L12" s="46" t="str">
        <f>IFERROR(
   IF(AND((Parabolic_tab[[#This Row],[Entry]]/Parabolic_tab[[#This Row],[Support]])-1 &lt;= 0.08,(Parabolic_tab[[#This Row],[Entry]]/Parabolic_tab[[#This Row],[Support]])-1 &gt;= 0),
      "Grupo 1 (0% - 0.8%)",
      IF(((Parabolic_tab[[#This Row],[Entry]]/Parabolic_tab[[#This Row],[Support]])-1)&lt;=0.15,
          "Grupo 2 (0.8% - 0.15%)",
          "Grupo 3 (0.15% - inf)")),
"ERROR")</f>
        <v>Grupo 1 (0% - 0.8%)</v>
      </c>
      <c r="M12" s="47">
        <v>3.46</v>
      </c>
      <c r="N12" s="22">
        <v>0.40277777777777779</v>
      </c>
      <c r="O12" s="22" t="str">
        <f t="shared" ref="O12:O18" si="5">IF(N12&lt;TIME(9,30,0),"PM",
 IF(N12&lt;TIME(9,45,0),"Market Open",
 IF(N12&lt;TIME(11,0,0),"TH",
 IF(N12&lt;TIME(14,0,0),"Lunch Time",
 IF(N12&lt;TIME(16,0,0),"Power Hour",
 IF(N12&lt;TIME(18,0,0),"AH",""))))))</f>
        <v>Market Open</v>
      </c>
      <c r="P12" s="38" t="s">
        <v>41</v>
      </c>
      <c r="Q12" s="15" t="s">
        <v>38</v>
      </c>
      <c r="R12" s="32" t="s">
        <v>1</v>
      </c>
      <c r="S12" s="32" t="s">
        <v>2</v>
      </c>
      <c r="T12" s="32" t="s">
        <v>82</v>
      </c>
      <c r="U12" s="32">
        <v>3.52</v>
      </c>
      <c r="V12" s="22">
        <v>0.40347222222222223</v>
      </c>
      <c r="W12" s="41">
        <f>IFERROR((Parabolic_tab[[#This Row],[Exit]]/Parabolic_tab[[#This Row],[Entry]])-1,"")</f>
        <v>1.7341040462427681E-2</v>
      </c>
      <c r="X12" s="22">
        <f>IFERROR(Parabolic_tab[[#This Row],[Exit Time]]-Parabolic_tab[[#This Row],[Entry Time]],"")</f>
        <v>6.9444444444444198E-4</v>
      </c>
      <c r="Y12" s="41" t="str">
        <f>IFERROR(TEXT(Parabolic_tab[[#This Row],[Date]],"dddd"),"")</f>
        <v>viernes</v>
      </c>
      <c r="Z12" s="32" t="s">
        <v>12</v>
      </c>
      <c r="AA12" s="32">
        <v>1</v>
      </c>
      <c r="AB12" s="40">
        <f>IFERROR((Parabolic_tab[[#This Row],[Exit]]-Parabolic_tab[[#This Row],[Entry]])/(Parabolic_tab[[#This Row],[Entry]]-Parabolic_tab[[#This Row],[Support]]), "")</f>
        <v>0.3</v>
      </c>
      <c r="AC12" s="32">
        <v>1</v>
      </c>
      <c r="AD12" s="15" t="s">
        <v>26</v>
      </c>
      <c r="AE12" s="32" t="str">
        <f>IFERROR(IF(Parabolic_tab[[#This Row],[RR]]&gt;1.6,"Yes","No"),"No Data")</f>
        <v>No</v>
      </c>
      <c r="AF12" s="35" t="s">
        <v>43</v>
      </c>
    </row>
    <row r="13" spans="1:32" x14ac:dyDescent="0.3">
      <c r="A13" s="45" t="s">
        <v>46</v>
      </c>
      <c r="B13" s="32" t="s">
        <v>1</v>
      </c>
      <c r="C13" s="30">
        <v>46199</v>
      </c>
      <c r="D13" s="30">
        <v>46198</v>
      </c>
      <c r="E13" s="22">
        <v>0.33333333333333331</v>
      </c>
      <c r="F13" s="22" t="str">
        <f t="shared" si="4"/>
        <v>Grupo 5 - Menor a 8:30 AM</v>
      </c>
      <c r="G13" s="22" t="s">
        <v>20</v>
      </c>
      <c r="H13" s="31">
        <v>1.48</v>
      </c>
      <c r="I13" s="32">
        <v>2.6</v>
      </c>
      <c r="J13" s="32">
        <v>1.61</v>
      </c>
      <c r="K13" s="38" t="str">
        <f>IFERROR(
   IF(AND((Parabolic_tab[[#This Row],[Support]]/Parabolic_tab[[#This Row],[PMH]])-1 &gt;= -0.4, (Parabolic_tab[[#This Row],[Support]]/Parabolic_tab[[#This Row],[PMH]])-1 &lt;= 0),
      "Grupo 1 (-0.4% - 0%)",
      IF((Parabolic_tab[[#This Row],[Support]]/Parabolic_tab[[#This Row],[PMH]])-1 &gt;= -0.55,
         "Grupo 2 (-0.55% - -0.4%)",
         "Grupo 3 (inf - -0.55%)")),
"ERROR")</f>
        <v>Grupo 1 (-0.4% - 0%)</v>
      </c>
      <c r="L13" s="46" t="str">
        <f>IFERROR(
   IF(AND((Parabolic_tab[[#This Row],[Entry]]/Parabolic_tab[[#This Row],[Support]])-1 &lt;= 0.08,(Parabolic_tab[[#This Row],[Entry]]/Parabolic_tab[[#This Row],[Support]])-1 &gt;= 0),
      "Grupo 1 (0% - 0.8%)",
      IF(((Parabolic_tab[[#This Row],[Entry]]/Parabolic_tab[[#This Row],[Support]])-1)&lt;=0.15,
          "Grupo 2 (0.8% - 0.15%)",
          "Grupo 3 (0.15% - inf)")),
"ERROR")</f>
        <v>Grupo 2 (0.8% - 0.15%)</v>
      </c>
      <c r="M13" s="47">
        <v>1.83</v>
      </c>
      <c r="N13" s="22">
        <v>0.43680555555555556</v>
      </c>
      <c r="O13" s="22" t="str">
        <f t="shared" si="5"/>
        <v>TH</v>
      </c>
      <c r="P13" s="38" t="s">
        <v>25</v>
      </c>
      <c r="Q13" s="15" t="s">
        <v>38</v>
      </c>
      <c r="R13" s="32" t="s">
        <v>6</v>
      </c>
      <c r="S13" s="32" t="s">
        <v>6</v>
      </c>
      <c r="T13" s="32" t="s">
        <v>83</v>
      </c>
      <c r="U13" s="32">
        <v>1.92</v>
      </c>
      <c r="V13" s="22">
        <v>0.43819444444444444</v>
      </c>
      <c r="W13" s="41">
        <f>IFERROR((Parabolic_tab[[#This Row],[Exit]]/Parabolic_tab[[#This Row],[Entry]])-1,"")</f>
        <v>4.9180327868852292E-2</v>
      </c>
      <c r="X13" s="22">
        <f>IFERROR(Parabolic_tab[[#This Row],[Exit Time]]-Parabolic_tab[[#This Row],[Entry Time]],"")</f>
        <v>1.388888888888884E-3</v>
      </c>
      <c r="Y13" s="41" t="str">
        <f>IFERROR(TEXT(Parabolic_tab[[#This Row],[Date]],"dddd"),"")</f>
        <v>viernes</v>
      </c>
      <c r="Z13" s="32" t="s">
        <v>12</v>
      </c>
      <c r="AA13" s="32">
        <v>1</v>
      </c>
      <c r="AB13" s="40">
        <f>IFERROR((Parabolic_tab[[#This Row],[Exit]]-Parabolic_tab[[#This Row],[Entry]])/(Parabolic_tab[[#This Row],[Entry]]-Parabolic_tab[[#This Row],[Support]]), "")</f>
        <v>0.40909090909090851</v>
      </c>
      <c r="AC13" s="32">
        <v>2</v>
      </c>
      <c r="AD13" s="32" t="s">
        <v>27</v>
      </c>
      <c r="AE13" s="32" t="str">
        <f>IFERROR(IF(Parabolic_tab[[#This Row],[RR]]&gt;1.6,"Yes","No"),"No Data")</f>
        <v>No</v>
      </c>
      <c r="AF13" s="35" t="s">
        <v>43</v>
      </c>
    </row>
    <row r="14" spans="1:32" x14ac:dyDescent="0.3">
      <c r="A14" s="42" t="s">
        <v>63</v>
      </c>
      <c r="B14" s="25" t="s">
        <v>1</v>
      </c>
      <c r="C14" s="7">
        <v>46202</v>
      </c>
      <c r="D14" s="7">
        <v>46199</v>
      </c>
      <c r="E14" s="8">
        <v>0.33333333333333331</v>
      </c>
      <c r="F14" s="8" t="str">
        <f t="shared" si="4"/>
        <v>Grupo 5 - Menor a 8:30 AM</v>
      </c>
      <c r="G14" s="10" t="s">
        <v>39</v>
      </c>
      <c r="H14" s="39">
        <v>0.48399999999999999</v>
      </c>
      <c r="I14" s="25">
        <v>1.29</v>
      </c>
      <c r="J14" s="25">
        <v>0.74670000000000003</v>
      </c>
      <c r="K14" s="33" t="str">
        <f>IFERROR(
   IF(AND((Parabolic_tab[[#This Row],[Support]]/Parabolic_tab[[#This Row],[PMH]])-1 &gt;= -0.4, (Parabolic_tab[[#This Row],[Support]]/Parabolic_tab[[#This Row],[PMH]])-1 &lt;= 0),
      "Grupo 1 (-0.4% - 0%)",
      IF((Parabolic_tab[[#This Row],[Support]]/Parabolic_tab[[#This Row],[PMH]])-1 &gt;= -0.55,
         "Grupo 2 (-0.55% - -0.4%)",
         "Grupo 3 (inf - -0.55%)")),
"ERROR")</f>
        <v>Grupo 2 (-0.55% - -0.4%)</v>
      </c>
      <c r="L14" s="43" t="str">
        <f>IFERROR(
   IF(AND((Parabolic_tab[[#This Row],[Entry]]/Parabolic_tab[[#This Row],[Support]])-1 &lt;= 0.08,(Parabolic_tab[[#This Row],[Entry]]/Parabolic_tab[[#This Row],[Support]])-1 &gt;= 0),
      "Grupo 1 (0% - 0.8%)",
      IF(((Parabolic_tab[[#This Row],[Entry]]/Parabolic_tab[[#This Row],[Support]])-1)&lt;=0.15,
          "Grupo 2 (0.8% - 0.15%)",
          "Grupo 3 (0.15% - inf)")),
"ERROR")</f>
        <v>Grupo 2 (0.8% - 0.15%)</v>
      </c>
      <c r="M14" s="44">
        <v>0.85089999999999999</v>
      </c>
      <c r="N14" s="10">
        <v>0.39652777777777776</v>
      </c>
      <c r="O14" s="10" t="str">
        <f t="shared" si="5"/>
        <v>Market Open</v>
      </c>
      <c r="P14" s="16" t="s">
        <v>41</v>
      </c>
      <c r="Q14" s="6" t="s">
        <v>38</v>
      </c>
      <c r="R14" s="12" t="s">
        <v>6</v>
      </c>
      <c r="S14" s="12" t="s">
        <v>6</v>
      </c>
      <c r="T14" s="25" t="s">
        <v>84</v>
      </c>
      <c r="U14" s="25">
        <v>1.21</v>
      </c>
      <c r="V14" s="10">
        <v>0.47083333333333333</v>
      </c>
      <c r="W14" s="34">
        <f>IFERROR((Parabolic_tab[[#This Row],[Exit]]/Parabolic_tab[[#This Row],[Entry]])-1,"")</f>
        <v>0.42202373956986716</v>
      </c>
      <c r="X14" s="10">
        <f>IFERROR(Parabolic_tab[[#This Row],[Exit Time]]-Parabolic_tab[[#This Row],[Entry Time]],"")</f>
        <v>7.4305555555555569E-2</v>
      </c>
      <c r="Y14" s="34" t="str">
        <f>IFERROR(TEXT(Parabolic_tab[[#This Row],[Date]],"dddd"),"")</f>
        <v>lunes</v>
      </c>
      <c r="Z14" s="28" t="s">
        <v>10</v>
      </c>
      <c r="AA14" s="25">
        <v>3</v>
      </c>
      <c r="AB14" s="1">
        <f>IFERROR((Parabolic_tab[[#This Row],[Exit]]-Parabolic_tab[[#This Row],[Entry]])/(Parabolic_tab[[#This Row],[Entry]]-Parabolic_tab[[#This Row],[Support]]), "")</f>
        <v>3.4462571976967382</v>
      </c>
      <c r="AC14" s="25">
        <v>4</v>
      </c>
      <c r="AD14" s="12" t="s">
        <v>27</v>
      </c>
      <c r="AE14" s="12" t="str">
        <f>IFERROR(IF(Parabolic_tab[[#This Row],[RR]]&gt;1.6,"Yes","No"),"No Data")</f>
        <v>Yes</v>
      </c>
      <c r="AF14" s="21" t="s">
        <v>44</v>
      </c>
    </row>
    <row r="15" spans="1:32" x14ac:dyDescent="0.3">
      <c r="A15" s="42" t="s">
        <v>81</v>
      </c>
      <c r="B15" s="25" t="s">
        <v>1</v>
      </c>
      <c r="C15" s="7">
        <v>46202</v>
      </c>
      <c r="D15" s="7">
        <v>46199</v>
      </c>
      <c r="E15" s="8">
        <v>0.29166666666666669</v>
      </c>
      <c r="F15" s="8" t="str">
        <f t="shared" si="4"/>
        <v>Grupo 3 - 7 AM</v>
      </c>
      <c r="G15" s="10" t="s">
        <v>39</v>
      </c>
      <c r="H15" s="39">
        <v>2.77</v>
      </c>
      <c r="I15" s="25">
        <v>4.92</v>
      </c>
      <c r="J15" s="25">
        <v>3.59</v>
      </c>
      <c r="K15" s="33" t="str">
        <f>IFERROR(
   IF(AND((Parabolic_tab[[#This Row],[Support]]/Parabolic_tab[[#This Row],[PMH]])-1 &gt;= -0.4, (Parabolic_tab[[#This Row],[Support]]/Parabolic_tab[[#This Row],[PMH]])-1 &lt;= 0),
      "Grupo 1 (-0.4% - 0%)",
      IF((Parabolic_tab[[#This Row],[Support]]/Parabolic_tab[[#This Row],[PMH]])-1 &gt;= -0.55,
         "Grupo 2 (-0.55% - -0.4%)",
         "Grupo 3 (inf - -0.55%)")),
"ERROR")</f>
        <v>Grupo 1 (-0.4% - 0%)</v>
      </c>
      <c r="L15" s="43" t="str">
        <f>IFERROR(
   IF(AND((Parabolic_tab[[#This Row],[Entry]]/Parabolic_tab[[#This Row],[Support]])-1 &lt;= 0.08,(Parabolic_tab[[#This Row],[Entry]]/Parabolic_tab[[#This Row],[Support]])-1 &gt;= 0),
      "Grupo 1 (0% - 0.8%)",
      IF(((Parabolic_tab[[#This Row],[Entry]]/Parabolic_tab[[#This Row],[Support]])-1)&lt;=0.15,
          "Grupo 2 (0.8% - 0.15%)",
          "Grupo 3 (0.15% - inf)")),
"ERROR")</f>
        <v>Grupo 1 (0% - 0.8%)</v>
      </c>
      <c r="M15" s="44">
        <v>3.85</v>
      </c>
      <c r="N15" s="10">
        <v>0.4375</v>
      </c>
      <c r="O15" s="10" t="str">
        <f t="shared" si="5"/>
        <v>TH</v>
      </c>
      <c r="P15" s="16" t="s">
        <v>25</v>
      </c>
      <c r="Q15" s="6" t="s">
        <v>38</v>
      </c>
      <c r="R15" s="12" t="s">
        <v>1</v>
      </c>
      <c r="S15" s="12" t="s">
        <v>1</v>
      </c>
      <c r="T15" s="25" t="s">
        <v>47</v>
      </c>
      <c r="U15" s="25">
        <v>4.3499999999999996</v>
      </c>
      <c r="V15" s="10">
        <v>0.44791666666666669</v>
      </c>
      <c r="W15" s="34">
        <f>IFERROR((Parabolic_tab[[#This Row],[Exit]]/Parabolic_tab[[#This Row],[Entry]])-1,"")</f>
        <v>0.12987012987012969</v>
      </c>
      <c r="X15" s="10">
        <f>IFERROR(Parabolic_tab[[#This Row],[Exit Time]]-Parabolic_tab[[#This Row],[Entry Time]],"")</f>
        <v>1.0416666666666685E-2</v>
      </c>
      <c r="Y15" s="34" t="str">
        <f>IFERROR(TEXT(Parabolic_tab[[#This Row],[Date]],"dddd"),"")</f>
        <v>lunes</v>
      </c>
      <c r="Z15" s="28" t="s">
        <v>10</v>
      </c>
      <c r="AA15" s="25">
        <v>1</v>
      </c>
      <c r="AB15" s="1">
        <f>IFERROR((Parabolic_tab[[#This Row],[Exit]]-Parabolic_tab[[#This Row],[Entry]])/(Parabolic_tab[[#This Row],[Entry]]-Parabolic_tab[[#This Row],[Support]]), "")</f>
        <v>1.9230769230769196</v>
      </c>
      <c r="AC15" s="25" t="s">
        <v>15</v>
      </c>
      <c r="AD15" s="6" t="s">
        <v>26</v>
      </c>
      <c r="AE15" s="12" t="str">
        <f>IFERROR(IF(Parabolic_tab[[#This Row],[RR]]&gt;1.6,"Yes","No"),"No Data")</f>
        <v>Yes</v>
      </c>
      <c r="AF15" s="19" t="s">
        <v>42</v>
      </c>
    </row>
    <row r="16" spans="1:32" x14ac:dyDescent="0.3">
      <c r="A16" s="45" t="s">
        <v>85</v>
      </c>
      <c r="B16" s="32" t="s">
        <v>1</v>
      </c>
      <c r="C16" s="30">
        <v>46203</v>
      </c>
      <c r="D16" s="30">
        <v>46202</v>
      </c>
      <c r="E16" s="22">
        <v>0.31041666666666667</v>
      </c>
      <c r="F16" s="22" t="str">
        <f t="shared" si="4"/>
        <v>Grupo 4 - Menor a 8 AM</v>
      </c>
      <c r="G16" s="22" t="s">
        <v>20</v>
      </c>
      <c r="H16" s="31">
        <v>0.16389999999999999</v>
      </c>
      <c r="I16" s="32">
        <v>0.43</v>
      </c>
      <c r="J16" s="32">
        <v>0.27</v>
      </c>
      <c r="K16" s="38" t="str">
        <f>IFERROR(
   IF(AND((Parabolic_tab[[#This Row],[Support]]/Parabolic_tab[[#This Row],[PMH]])-1 &gt;= -0.4, (Parabolic_tab[[#This Row],[Support]]/Parabolic_tab[[#This Row],[PMH]])-1 &lt;= 0),
      "Grupo 1 (-0.4% - 0%)",
      IF((Parabolic_tab[[#This Row],[Support]]/Parabolic_tab[[#This Row],[PMH]])-1 &gt;= -0.55,
         "Grupo 2 (-0.55% - -0.4%)",
         "Grupo 3 (inf - -0.55%)")),
"ERROR")</f>
        <v>Grupo 1 (-0.4% - 0%)</v>
      </c>
      <c r="L16" s="46" t="str">
        <f>IFERROR(
   IF(AND((Parabolic_tab[[#This Row],[Entry]]/Parabolic_tab[[#This Row],[Support]])-1 &lt;= 0.08,(Parabolic_tab[[#This Row],[Entry]]/Parabolic_tab[[#This Row],[Support]])-1 &gt;= 0),
      "Grupo 1 (0% - 0.8%)",
      IF(((Parabolic_tab[[#This Row],[Entry]]/Parabolic_tab[[#This Row],[Support]])-1)&lt;=0.15,
          "Grupo 2 (0.8% - 0.15%)",
          "Grupo 3 (0.15% - inf)")),
"ERROR")</f>
        <v>Grupo 3 (0.15% - inf)</v>
      </c>
      <c r="M16" s="47">
        <v>0.32019999999999998</v>
      </c>
      <c r="N16" s="22">
        <v>0.40694444444444444</v>
      </c>
      <c r="O16" s="22" t="str">
        <f t="shared" si="5"/>
        <v>TH</v>
      </c>
      <c r="P16" s="38" t="s">
        <v>25</v>
      </c>
      <c r="Q16" s="32" t="s">
        <v>40</v>
      </c>
      <c r="R16" s="32" t="s">
        <v>1</v>
      </c>
      <c r="S16" s="32" t="s">
        <v>1</v>
      </c>
      <c r="T16" s="32" t="s">
        <v>86</v>
      </c>
      <c r="U16" s="32">
        <v>0.35699999999999998</v>
      </c>
      <c r="V16" s="22">
        <v>0.40833333333333333</v>
      </c>
      <c r="W16" s="41">
        <f>IFERROR((Parabolic_tab[[#This Row],[Exit]]/Parabolic_tab[[#This Row],[Entry]])-1,"")</f>
        <v>0.11492816989381627</v>
      </c>
      <c r="X16" s="22">
        <f>IFERROR(Parabolic_tab[[#This Row],[Exit Time]]-Parabolic_tab[[#This Row],[Entry Time]],"")</f>
        <v>1.388888888888884E-3</v>
      </c>
      <c r="Y16" s="41" t="str">
        <f>IFERROR(TEXT(Parabolic_tab[[#This Row],[Date]],"dddd"),"")</f>
        <v>martes</v>
      </c>
      <c r="Z16" s="15" t="s">
        <v>14</v>
      </c>
      <c r="AA16" s="32">
        <v>1</v>
      </c>
      <c r="AB16" s="40">
        <f>IFERROR((Parabolic_tab[[#This Row],[Exit]]-Parabolic_tab[[#This Row],[Entry]])/(Parabolic_tab[[#This Row],[Entry]]-Parabolic_tab[[#This Row],[Support]]), "")</f>
        <v>0.7330677290836658</v>
      </c>
      <c r="AC16" s="32" t="s">
        <v>15</v>
      </c>
      <c r="AD16" s="15" t="s">
        <v>26</v>
      </c>
      <c r="AE16" s="32" t="str">
        <f>IFERROR(IF(Parabolic_tab[[#This Row],[RR]]&gt;1.6,"Yes","No"),"No Data")</f>
        <v>No</v>
      </c>
      <c r="AF16" s="48" t="s">
        <v>44</v>
      </c>
    </row>
    <row r="17" spans="1:32" x14ac:dyDescent="0.3">
      <c r="A17" s="42" t="s">
        <v>64</v>
      </c>
      <c r="B17" s="25" t="s">
        <v>1</v>
      </c>
      <c r="C17" s="7">
        <v>46205</v>
      </c>
      <c r="D17" s="7">
        <v>46204</v>
      </c>
      <c r="E17" s="10">
        <v>0.35416666666666669</v>
      </c>
      <c r="F17" s="8" t="str">
        <f t="shared" si="4"/>
        <v>Grupo 6 - Menor a 9:30 AM</v>
      </c>
      <c r="G17" s="8" t="s">
        <v>20</v>
      </c>
      <c r="H17" s="39">
        <v>2.78</v>
      </c>
      <c r="I17" s="25">
        <v>6.16</v>
      </c>
      <c r="J17" s="25">
        <v>3.21</v>
      </c>
      <c r="K17" s="33" t="str">
        <f>IFERROR(
   IF(AND((Parabolic_tab[[#This Row],[Support]]/Parabolic_tab[[#This Row],[PMH]])-1 &gt;= -0.4, (Parabolic_tab[[#This Row],[Support]]/Parabolic_tab[[#This Row],[PMH]])-1 &lt;= 0),
      "Grupo 1 (-0.4% - 0%)",
      IF((Parabolic_tab[[#This Row],[Support]]/Parabolic_tab[[#This Row],[PMH]])-1 &gt;= -0.55,
         "Grupo 2 (-0.55% - -0.4%)",
         "Grupo 3 (inf - -0.55%)")),
"ERROR")</f>
        <v>Grupo 2 (-0.55% - -0.4%)</v>
      </c>
      <c r="L17" s="43" t="str">
        <f>IFERROR(
   IF(AND((Parabolic_tab[[#This Row],[Entry]]/Parabolic_tab[[#This Row],[Support]])-1 &lt;= 0.08,(Parabolic_tab[[#This Row],[Entry]]/Parabolic_tab[[#This Row],[Support]])-1 &gt;= 0),
      "Grupo 1 (0% - 0.8%)",
      IF(((Parabolic_tab[[#This Row],[Entry]]/Parabolic_tab[[#This Row],[Support]])-1)&lt;=0.15,
          "Grupo 2 (0.8% - 0.15%)",
          "Grupo 3 (0.15% - inf)")),
"ERROR")</f>
        <v>Grupo 2 (0.8% - 0.15%)</v>
      </c>
      <c r="M17" s="44">
        <v>3.49</v>
      </c>
      <c r="N17" s="10">
        <v>0.40069444444444446</v>
      </c>
      <c r="O17" s="10" t="str">
        <f t="shared" si="5"/>
        <v>Market Open</v>
      </c>
      <c r="P17" s="16" t="s">
        <v>25</v>
      </c>
      <c r="Q17" s="12" t="s">
        <v>40</v>
      </c>
      <c r="R17" s="12" t="s">
        <v>6</v>
      </c>
      <c r="S17" s="12" t="s">
        <v>6</v>
      </c>
      <c r="T17" s="25" t="s">
        <v>19</v>
      </c>
      <c r="U17" s="25">
        <v>4.05</v>
      </c>
      <c r="V17" s="10">
        <v>0.40208333333333335</v>
      </c>
      <c r="W17" s="34">
        <f>IFERROR((Parabolic_tab[[#This Row],[Exit]]/Parabolic_tab[[#This Row],[Entry]])-1,"")</f>
        <v>0.16045845272206294</v>
      </c>
      <c r="X17" s="10">
        <f>IFERROR(Parabolic_tab[[#This Row],[Exit Time]]-Parabolic_tab[[#This Row],[Entry Time]],"")</f>
        <v>1.388888888888884E-3</v>
      </c>
      <c r="Y17" s="34" t="str">
        <f>IFERROR(TEXT(Parabolic_tab[[#This Row],[Date]],"dddd"),"")</f>
        <v>jueves</v>
      </c>
      <c r="Z17" s="25" t="s">
        <v>12</v>
      </c>
      <c r="AA17" s="25">
        <v>1</v>
      </c>
      <c r="AB17" s="1">
        <f>IFERROR((Parabolic_tab[[#This Row],[Exit]]-Parabolic_tab[[#This Row],[Entry]])/(Parabolic_tab[[#This Row],[Entry]]-Parabolic_tab[[#This Row],[Support]]), "")</f>
        <v>1.9999999999999969</v>
      </c>
      <c r="AC17" s="25" t="s">
        <v>11</v>
      </c>
      <c r="AD17" s="12" t="s">
        <v>27</v>
      </c>
      <c r="AE17" s="12" t="str">
        <f>IFERROR(IF(Parabolic_tab[[#This Row],[RR]]&gt;1.6,"Yes","No"),"No Data")</f>
        <v>Yes</v>
      </c>
      <c r="AF17" s="21" t="s">
        <v>44</v>
      </c>
    </row>
    <row r="18" spans="1:32" x14ac:dyDescent="0.3">
      <c r="A18" s="23" t="s">
        <v>22</v>
      </c>
      <c r="B18" s="25" t="s">
        <v>1</v>
      </c>
      <c r="C18" s="7">
        <v>46209</v>
      </c>
      <c r="D18" s="7">
        <v>46205</v>
      </c>
      <c r="E18" s="9">
        <v>0.33333333333333331</v>
      </c>
      <c r="F18" s="11" t="str">
        <f t="shared" si="4"/>
        <v>Grupo 5 - Menor a 8:30 AM</v>
      </c>
      <c r="G18" s="8" t="s">
        <v>39</v>
      </c>
      <c r="H18" s="26">
        <v>0.76</v>
      </c>
      <c r="I18" s="13">
        <v>1.37</v>
      </c>
      <c r="J18" s="13">
        <v>0.9506</v>
      </c>
      <c r="K18" s="50" t="str">
        <f>IFERROR(
   IF(AND((Parabolic_tab[[#This Row],[Support]]/Parabolic_tab[[#This Row],[PMH]])-1 &gt;= -0.4, (Parabolic_tab[[#This Row],[Support]]/Parabolic_tab[[#This Row],[PMH]])-1 &lt;= 0),
      "Grupo 1 (-0.4% - 0%)",
      IF((Parabolic_tab[[#This Row],[Support]]/Parabolic_tab[[#This Row],[PMH]])-1 &gt;= -0.55,
         "Grupo 2 (-0.55% - -0.4%)",
         "Grupo 3 (inf - -0.55%)")),
"ERROR")</f>
        <v>Grupo 1 (-0.4% - 0%)</v>
      </c>
      <c r="L18" s="51" t="str">
        <f>IFERROR(
   IF(AND((Parabolic_tab[[#This Row],[Entry]]/Parabolic_tab[[#This Row],[Support]])-1 &lt;= 0.08,(Parabolic_tab[[#This Row],[Entry]]/Parabolic_tab[[#This Row],[Support]])-1 &gt;= 0),
      "Grupo 1 (0% - 0.8%)",
      IF(((Parabolic_tab[[#This Row],[Entry]]/Parabolic_tab[[#This Row],[Support]])-1)&lt;=0.15,
          "Grupo 2 (0.8% - 0.15%)",
          "Grupo 3 (0.15% - inf)")),
"ERROR")</f>
        <v>Grupo 3 (0.15% - inf)</v>
      </c>
      <c r="M18" s="27">
        <v>1.1499999999999999</v>
      </c>
      <c r="N18" s="9">
        <v>0.45347222222222222</v>
      </c>
      <c r="O18" s="9" t="str">
        <f t="shared" si="5"/>
        <v>TH</v>
      </c>
      <c r="P18" s="16" t="s">
        <v>25</v>
      </c>
      <c r="Q18" s="12" t="s">
        <v>40</v>
      </c>
      <c r="R18" s="12" t="s">
        <v>1</v>
      </c>
      <c r="S18" s="12" t="s">
        <v>1</v>
      </c>
      <c r="T18" s="13" t="s">
        <v>54</v>
      </c>
      <c r="U18" s="13">
        <v>1.57</v>
      </c>
      <c r="V18" s="9">
        <v>0.53402777777777777</v>
      </c>
      <c r="W18" s="14">
        <f>IFERROR((Parabolic_tab[[#This Row],[Exit]]/Parabolic_tab[[#This Row],[Entry]])-1,"")</f>
        <v>0.36521739130434794</v>
      </c>
      <c r="X18" s="9">
        <f>IFERROR(Parabolic_tab[[#This Row],[Exit Time]]-Parabolic_tab[[#This Row],[Entry Time]],"")</f>
        <v>8.0555555555555547E-2</v>
      </c>
      <c r="Y18" s="14" t="str">
        <f>IFERROR(TEXT(Parabolic_tab[[#This Row],[Date]],"dddd"),"")</f>
        <v>lunes</v>
      </c>
      <c r="Z18" s="28" t="s">
        <v>10</v>
      </c>
      <c r="AA18" s="25">
        <v>2</v>
      </c>
      <c r="AB18" s="2">
        <f>IFERROR((Parabolic_tab[[#This Row],[Exit]]-Parabolic_tab[[#This Row],[Entry]])/(Parabolic_tab[[#This Row],[Entry]]-Parabolic_tab[[#This Row],[Support]]), "")</f>
        <v>2.1063189568706133</v>
      </c>
      <c r="AC18" s="13" t="s">
        <v>3</v>
      </c>
      <c r="AD18" s="12" t="s">
        <v>27</v>
      </c>
      <c r="AE18" s="6" t="str">
        <f>IFERROR(IF(Parabolic_tab[[#This Row],[RR]]&gt;1.6,"Yes","No"),"No Data")</f>
        <v>Yes</v>
      </c>
      <c r="AF18" s="19" t="s">
        <v>43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Parabolic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 Santillan</dc:creator>
  <cp:lastModifiedBy>Nai Santillan</cp:lastModifiedBy>
  <cp:lastPrinted>2025-11-09T00:01:29Z</cp:lastPrinted>
  <dcterms:created xsi:type="dcterms:W3CDTF">2025-08-27T01:58:11Z</dcterms:created>
  <dcterms:modified xsi:type="dcterms:W3CDTF">2026-07-08T12:19:48Z</dcterms:modified>
</cp:coreProperties>
</file>